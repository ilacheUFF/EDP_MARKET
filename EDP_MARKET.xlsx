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lunos" sheetId="1" state="visible" r:id="rId3"/>
    <sheet name="EDPs" sheetId="2" state="visible" r:id="rId4"/>
    <sheet name="Compras" sheetId="3" state="visible" r:id="rId5"/>
    <sheet name="Gabarit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<sst xmlns="http://schemas.openxmlformats.org/spreadsheetml/2006/main" count="837" uniqueCount="221">
  <si>
    <t xml:space="preserve">ID</t>
  </si>
  <si>
    <t xml:space="preserve">Nome</t>
  </si>
  <si>
    <t xml:space="preserve">EDP atribuído</t>
  </si>
  <si>
    <t xml:space="preserve">Etapa</t>
  </si>
  <si>
    <t xml:space="preserve">Orçamento inicial</t>
  </si>
  <si>
    <t xml:space="preserve">Saldo</t>
  </si>
  <si>
    <t xml:space="preserve">Pontos</t>
  </si>
  <si>
    <t xml:space="preserve">Agnes</t>
  </si>
  <si>
    <t xml:space="preserve">P01</t>
  </si>
  <si>
    <t xml:space="preserve">Ana Clara</t>
  </si>
  <si>
    <t xml:space="preserve">P02</t>
  </si>
  <si>
    <t xml:space="preserve">Ana Julia</t>
  </si>
  <si>
    <t xml:space="preserve">P03</t>
  </si>
  <si>
    <t xml:space="preserve">Bianca Azevedo</t>
  </si>
  <si>
    <t xml:space="preserve">P04</t>
  </si>
  <si>
    <t xml:space="preserve">Bianca Moraes</t>
  </si>
  <si>
    <t xml:space="preserve">P05</t>
  </si>
  <si>
    <t xml:space="preserve">Bruna</t>
  </si>
  <si>
    <t xml:space="preserve">P06</t>
  </si>
  <si>
    <t xml:space="preserve">Caio</t>
  </si>
  <si>
    <t xml:space="preserve">P07</t>
  </si>
  <si>
    <t xml:space="preserve">Carolina</t>
  </si>
  <si>
    <t xml:space="preserve">P08</t>
  </si>
  <si>
    <t xml:space="preserve">Caroline</t>
  </si>
  <si>
    <t xml:space="preserve">P09</t>
  </si>
  <si>
    <t xml:space="preserve">Diego</t>
  </si>
  <si>
    <t xml:space="preserve">P10</t>
  </si>
  <si>
    <t xml:space="preserve">Erick</t>
  </si>
  <si>
    <t xml:space="preserve">P11</t>
  </si>
  <si>
    <t xml:space="preserve">Gabriella</t>
  </si>
  <si>
    <t xml:space="preserve">P12</t>
  </si>
  <si>
    <t xml:space="preserve">Giulia</t>
  </si>
  <si>
    <t xml:space="preserve">P13</t>
  </si>
  <si>
    <t xml:space="preserve">Guilherme</t>
  </si>
  <si>
    <t xml:space="preserve">P14</t>
  </si>
  <si>
    <t xml:space="preserve">Gustavo Felicio</t>
  </si>
  <si>
    <t xml:space="preserve">P15</t>
  </si>
  <si>
    <t xml:space="preserve">Gustavo Varela</t>
  </si>
  <si>
    <t xml:space="preserve">P16</t>
  </si>
  <si>
    <t xml:space="preserve">Igor</t>
  </si>
  <si>
    <t xml:space="preserve">P17</t>
  </si>
  <si>
    <t xml:space="preserve">Jessica</t>
  </si>
  <si>
    <t xml:space="preserve">P18</t>
  </si>
  <si>
    <t xml:space="preserve">Joao Batista</t>
  </si>
  <si>
    <t xml:space="preserve">P19</t>
  </si>
  <si>
    <t xml:space="preserve">Joao Paulo</t>
  </si>
  <si>
    <t xml:space="preserve">P20</t>
  </si>
  <si>
    <t xml:space="preserve">Joao Pedro</t>
  </si>
  <si>
    <t xml:space="preserve">P21</t>
  </si>
  <si>
    <t xml:space="preserve">Jorge</t>
  </si>
  <si>
    <t xml:space="preserve">P22</t>
  </si>
  <si>
    <t xml:space="preserve">Kassiane</t>
  </si>
  <si>
    <t xml:space="preserve">P23</t>
  </si>
  <si>
    <t xml:space="preserve">Larissa</t>
  </si>
  <si>
    <t xml:space="preserve">P24</t>
  </si>
  <si>
    <t xml:space="preserve">Laura</t>
  </si>
  <si>
    <t xml:space="preserve">P25</t>
  </si>
  <si>
    <t xml:space="preserve">Lavinia</t>
  </si>
  <si>
    <t xml:space="preserve">P26</t>
  </si>
  <si>
    <t xml:space="preserve">Lilandra</t>
  </si>
  <si>
    <t xml:space="preserve">P27</t>
  </si>
  <si>
    <t xml:space="preserve">Lilien</t>
  </si>
  <si>
    <t xml:space="preserve">P28</t>
  </si>
  <si>
    <t xml:space="preserve">Lucas</t>
  </si>
  <si>
    <t xml:space="preserve">P29</t>
  </si>
  <si>
    <t xml:space="preserve">Luisa</t>
  </si>
  <si>
    <t xml:space="preserve">P30</t>
  </si>
  <si>
    <t xml:space="preserve">Luiza</t>
  </si>
  <si>
    <t xml:space="preserve">P31</t>
  </si>
  <si>
    <t xml:space="preserve">Manuela</t>
  </si>
  <si>
    <t xml:space="preserve">P32</t>
  </si>
  <si>
    <t xml:space="preserve">Maria Eduarda Conhasca</t>
  </si>
  <si>
    <t xml:space="preserve">P33</t>
  </si>
  <si>
    <t xml:space="preserve">Maria Eduarda Gomes</t>
  </si>
  <si>
    <t xml:space="preserve">P34</t>
  </si>
  <si>
    <t xml:space="preserve">Maria Eduarda Ramos</t>
  </si>
  <si>
    <t xml:space="preserve">P35</t>
  </si>
  <si>
    <t xml:space="preserve">Maria Luisa</t>
  </si>
  <si>
    <t xml:space="preserve">P36</t>
  </si>
  <si>
    <t xml:space="preserve">Maria Luiza</t>
  </si>
  <si>
    <t xml:space="preserve">P37</t>
  </si>
  <si>
    <t xml:space="preserve">Marianna</t>
  </si>
  <si>
    <t xml:space="preserve">P38</t>
  </si>
  <si>
    <t xml:space="preserve">Mayara</t>
  </si>
  <si>
    <t xml:space="preserve">P39</t>
  </si>
  <si>
    <t xml:space="preserve">Miguel</t>
  </si>
  <si>
    <t xml:space="preserve">P40</t>
  </si>
  <si>
    <t xml:space="preserve">Pedro Augusto</t>
  </si>
  <si>
    <t xml:space="preserve">P41</t>
  </si>
  <si>
    <t xml:space="preserve">Pedro Henrique</t>
  </si>
  <si>
    <t xml:space="preserve">P42</t>
  </si>
  <si>
    <t xml:space="preserve">Rafael</t>
  </si>
  <si>
    <t xml:space="preserve">P43</t>
  </si>
  <si>
    <t xml:space="preserve">Rafaela</t>
  </si>
  <si>
    <t xml:space="preserve">P44</t>
  </si>
  <si>
    <t xml:space="preserve">Rodrigo</t>
  </si>
  <si>
    <t xml:space="preserve">P45</t>
  </si>
  <si>
    <t xml:space="preserve">Stella</t>
  </si>
  <si>
    <t xml:space="preserve">P46</t>
  </si>
  <si>
    <t xml:space="preserve">Vitoria</t>
  </si>
  <si>
    <t xml:space="preserve">P47</t>
  </si>
  <si>
    <t xml:space="preserve">Yuri</t>
  </si>
  <si>
    <t xml:space="preserve">P48</t>
  </si>
  <si>
    <t xml:space="preserve">Código</t>
  </si>
  <si>
    <t xml:space="preserve">EDP</t>
  </si>
  <si>
    <t xml:space="preserve">Vendedor</t>
  </si>
  <si>
    <t xml:space="preserve">Preço</t>
  </si>
  <si>
    <t xml:space="preserve">Status</t>
  </si>
  <si>
    <t xml:space="preserve">Fases influenciadas</t>
  </si>
  <si>
    <t xml:space="preserve">Design for appropriate lifespan</t>
  </si>
  <si>
    <t xml:space="preserve">Uso</t>
  </si>
  <si>
    <t xml:space="preserve">Não anunciado</t>
  </si>
  <si>
    <t xml:space="preserve">Pré-produção, Produção, Distribuição, Uso, Descarte</t>
  </si>
  <si>
    <t xml:space="preserve">Design for reliability (simplify, reduce number of component)</t>
  </si>
  <si>
    <t xml:space="preserve">À venda</t>
  </si>
  <si>
    <t xml:space="preserve">Facilitate upgrading and adaptability</t>
  </si>
  <si>
    <t xml:space="preserve">Facilitate maintenance</t>
  </si>
  <si>
    <t xml:space="preserve">Facilitate repair</t>
  </si>
  <si>
    <t xml:space="preserve">Facilitate reuse</t>
  </si>
  <si>
    <t xml:space="preserve">Descarte</t>
  </si>
  <si>
    <t xml:space="preserve">Facilitate remanufacturing</t>
  </si>
  <si>
    <t xml:space="preserve">Intensify use (share, multifunction, integrated, on demand)</t>
  </si>
  <si>
    <t xml:space="preserve">Minimize material content or dematerialize, digitalize, miniaturize</t>
  </si>
  <si>
    <t xml:space="preserve">Pré-produção / Materiais</t>
  </si>
  <si>
    <t xml:space="preserve">Minimize scraps and discards</t>
  </si>
  <si>
    <t xml:space="preserve">Produção</t>
  </si>
  <si>
    <t xml:space="preserve">Produção, Pré-produção</t>
  </si>
  <si>
    <t xml:space="preserve">Minimize packaging (avoid, integrate, drastically reduce)</t>
  </si>
  <si>
    <t xml:space="preserve">Distribuição</t>
  </si>
  <si>
    <t xml:space="preserve">Pré-produção, Produção, Distribuição, Descarte</t>
  </si>
  <si>
    <t xml:space="preserve">Minimize material consumption during usage (select more consumption-efficient systems)</t>
  </si>
  <si>
    <t xml:space="preserve">Minimize materials consumption during usage (engage systems with dynamic material consumption)</t>
  </si>
  <si>
    <t xml:space="preserve">Minimize energy consumption (during pre-production and production)</t>
  </si>
  <si>
    <t xml:space="preserve">Pré-produção, Produção</t>
  </si>
  <si>
    <t xml:space="preserve">Minimize energy consumption (during transportation and storage)</t>
  </si>
  <si>
    <t xml:space="preserve">Minimize energy consumption (select systems with energy-efficient operation stage)</t>
  </si>
  <si>
    <t xml:space="preserve">Select non-toxic and harmless materials</t>
  </si>
  <si>
    <t xml:space="preserve">Select non-toxic and harmless energy resources</t>
  </si>
  <si>
    <t xml:space="preserve">Select renewable and bio-compatible materials</t>
  </si>
  <si>
    <t xml:space="preserve">Pré-produção, Produção, Descarte</t>
  </si>
  <si>
    <t xml:space="preserve">Select renewable and bio-compatible energy resources</t>
  </si>
  <si>
    <t xml:space="preserve">Adopt the cascade approach</t>
  </si>
  <si>
    <t xml:space="preserve">Pré-produção, Descarte</t>
  </si>
  <si>
    <t xml:space="preserve">Facilitate end-of-life collection and transportation</t>
  </si>
  <si>
    <t xml:space="preserve">Identify materials</t>
  </si>
  <si>
    <t xml:space="preserve">Produção, Descarte</t>
  </si>
  <si>
    <t xml:space="preserve">Minimize the overall number of different incompatible materials</t>
  </si>
  <si>
    <t xml:space="preserve">Facilitate cleaning</t>
  </si>
  <si>
    <t xml:space="preserve">Facilitate composting</t>
  </si>
  <si>
    <t xml:space="preserve">Reduce and facilitate operations of disassembly and separation</t>
  </si>
  <si>
    <t xml:space="preserve">Uso, Descarte</t>
  </si>
  <si>
    <t xml:space="preserve">Engage reversible joining systems</t>
  </si>
  <si>
    <t xml:space="preserve">Develop services providing added value to the product’s life cycle</t>
  </si>
  <si>
    <t xml:space="preserve">Develop services providing ‘final results’</t>
  </si>
  <si>
    <t xml:space="preserve">Develop services providing ‘enabling platforms for customers’</t>
  </si>
  <si>
    <t xml:space="preserve">Change raw material (low impact or recyclable/recycled)</t>
  </si>
  <si>
    <t xml:space="preserve">Modify raw material (reduce mass and volume)</t>
  </si>
  <si>
    <t xml:space="preserve">Use pre-manufactured material</t>
  </si>
  <si>
    <t xml:space="preserve">Change material (low impact) for the packaging</t>
  </si>
  <si>
    <t xml:space="preserve">Reduce the mass of the packaging (eliminate, reduce, integrate, modify raw material to be protected)</t>
  </si>
  <si>
    <t xml:space="preserve">Reduce the volume of the packaging (reduce the volume, dynamize)</t>
  </si>
  <si>
    <t xml:space="preserve">Distribuição, Descarte</t>
  </si>
  <si>
    <t xml:space="preserve">Improve packaging durability (reuse in the same or different way, recycle)</t>
  </si>
  <si>
    <t xml:space="preserve">Distribuição, Uso, Descarte</t>
  </si>
  <si>
    <t xml:space="preserve">Modify packaging to increase raw material durability (controlled atmosphere, vacuum, deep freeze, sterilization)</t>
  </si>
  <si>
    <t xml:space="preserve">Use efficient transports</t>
  </si>
  <si>
    <t xml:space="preserve">Optimize logistic (choose the shortest route in time or in space)</t>
  </si>
  <si>
    <t xml:space="preserve">Reduce the volume of the load (reduce the volume or the free space)</t>
  </si>
  <si>
    <t xml:space="preserve">Reduce the transportation risk</t>
  </si>
  <si>
    <t xml:space="preserve">Modify the products for maintenance</t>
  </si>
  <si>
    <t xml:space="preserve">Avoid auxiliary components (independent, eliminate components, dematerializing)</t>
  </si>
  <si>
    <t xml:space="preserve">Reduce auxiliary components (rationalize, improve energy performances, discretize use)</t>
  </si>
  <si>
    <t xml:space="preserve">Pré-produção, Produção, Distribuição, Uso</t>
  </si>
  <si>
    <t xml:space="preserve">Remove dangerous materials during the product use</t>
  </si>
  <si>
    <t xml:space="preserve">Reduce environmental problems during the product use</t>
  </si>
  <si>
    <t xml:space="preserve">P49</t>
  </si>
  <si>
    <t xml:space="preserve">Act on durability (more operation, different way) of the packaging during the product use</t>
  </si>
  <si>
    <t xml:space="preserve">P50</t>
  </si>
  <si>
    <t xml:space="preserve">Reduce the mass of the packaging during the product use (light material, multifunctional product)</t>
  </si>
  <si>
    <t xml:space="preserve">P51</t>
  </si>
  <si>
    <t xml:space="preserve">Act on shape and volume</t>
  </si>
  <si>
    <t xml:space="preserve">Distribuição, Uso</t>
  </si>
  <si>
    <t xml:space="preserve">P52</t>
  </si>
  <si>
    <t xml:space="preserve">Reduce the consumption of energy required (efficient or alternative)</t>
  </si>
  <si>
    <t xml:space="preserve">P53</t>
  </si>
  <si>
    <t xml:space="preserve">Recover dissipated energy during the product use</t>
  </si>
  <si>
    <t xml:space="preserve">P54</t>
  </si>
  <si>
    <t xml:space="preserve">Reduce the need of maintenance during the product use</t>
  </si>
  <si>
    <t xml:space="preserve">P55</t>
  </si>
  <si>
    <t xml:space="preserve">Make the maintenance proactive during the product use</t>
  </si>
  <si>
    <t xml:space="preserve">P56</t>
  </si>
  <si>
    <t xml:space="preserve">Design repairable product</t>
  </si>
  <si>
    <t xml:space="preserve">P57</t>
  </si>
  <si>
    <t xml:space="preserve">Realize modular product</t>
  </si>
  <si>
    <t xml:space="preserve">Pré-produção, Produção, Uso, Descarte</t>
  </si>
  <si>
    <t xml:space="preserve">P58</t>
  </si>
  <si>
    <t xml:space="preserve">Design product with low emission of pollution substances during the product use</t>
  </si>
  <si>
    <t xml:space="preserve">P59</t>
  </si>
  <si>
    <t xml:space="preserve">Reduce the product mass during the product use</t>
  </si>
  <si>
    <t xml:space="preserve">P60</t>
  </si>
  <si>
    <t xml:space="preserve">Reduce the product volume during the product use</t>
  </si>
  <si>
    <t xml:space="preserve">P61</t>
  </si>
  <si>
    <t xml:space="preserve">Recovery of material (reuse, remanufacture, recycle) at the end of the product’s life</t>
  </si>
  <si>
    <t xml:space="preserve">P62</t>
  </si>
  <si>
    <t xml:space="preserve">Use biodegradable packaging for the end of the product’s life</t>
  </si>
  <si>
    <t xml:space="preserve">P63</t>
  </si>
  <si>
    <t xml:space="preserve">Reduce the mass for the end of the product’s life</t>
  </si>
  <si>
    <t xml:space="preserve">P64</t>
  </si>
  <si>
    <t xml:space="preserve">Allow the separability of materials at the end of the product’s life</t>
  </si>
  <si>
    <t xml:space="preserve">P65</t>
  </si>
  <si>
    <t xml:space="preserve">Use connections between parts for the end of the product’s life</t>
  </si>
  <si>
    <t xml:space="preserve">P66</t>
  </si>
  <si>
    <t xml:space="preserve">Reduce the weight and the volume of the transport at the end of the product’s life</t>
  </si>
  <si>
    <t xml:space="preserve">ID compra</t>
  </si>
  <si>
    <t xml:space="preserve">Comprador ID</t>
  </si>
  <si>
    <t xml:space="preserve">Comprador</t>
  </si>
  <si>
    <t xml:space="preserve">Data/hora</t>
  </si>
  <si>
    <t xml:space="preserve">2026-10-01 16:31:28</t>
  </si>
  <si>
    <t xml:space="preserve">CPF</t>
  </si>
  <si>
    <t xml:space="preserve">Preprodu</t>
  </si>
  <si>
    <t xml:space="preserve">Distribui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</si>
</sst>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true" showRowColHeaders="true" showZeros="true" rightToLeft="false" tabSelected="false" showOutlineSymbols="true" defaultGridColor="true" view="normal" topLeftCell="A48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24.3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n">
        <v>1</v>
      </c>
      <c r="B2" s="3" t="s">
        <v>7</v>
      </c>
      <c r="C2" s="1" t="s">
        <v>8</v>
      </c>
      <c r="E2" s="1" t="n">
        <v>1000</v>
      </c>
      <c r="F2" s="1" t="n">
        <v>1000</v>
      </c>
      <c r="G2" s="1" t="n">
        <v>0</v>
      </c>
    </row>
    <row r="3" customFormat="false" ht="15" hidden="false" customHeight="true" outlineLevel="0" collapsed="false">
      <c r="A3" s="1" t="n">
        <v>2</v>
      </c>
      <c r="B3" s="3" t="s">
        <v>9</v>
      </c>
      <c r="C3" s="1" t="s">
        <v>10</v>
      </c>
      <c r="E3" s="1" t="n">
        <v>1000</v>
      </c>
      <c r="F3" s="1" t="n">
        <v>1000</v>
      </c>
      <c r="G3" s="1" t="n">
        <v>0</v>
      </c>
    </row>
    <row r="4" customFormat="false" ht="15" hidden="false" customHeight="true" outlineLevel="0" collapsed="false">
      <c r="A4" s="1" t="n">
        <v>3</v>
      </c>
      <c r="B4" s="3" t="s">
        <v>11</v>
      </c>
      <c r="C4" s="1" t="s">
        <v>12</v>
      </c>
      <c r="E4" s="1" t="n">
        <v>1000</v>
      </c>
      <c r="F4" s="1" t="n">
        <v>1000</v>
      </c>
      <c r="G4" s="1" t="n">
        <v>0</v>
      </c>
    </row>
    <row r="5" customFormat="false" ht="15" hidden="false" customHeight="true" outlineLevel="0" collapsed="false">
      <c r="A5" s="1" t="n">
        <v>4</v>
      </c>
      <c r="B5" s="3" t="s">
        <v>13</v>
      </c>
      <c r="C5" s="1" t="s">
        <v>14</v>
      </c>
      <c r="E5" s="1" t="n">
        <v>1000</v>
      </c>
      <c r="F5" s="1" t="n">
        <v>1000</v>
      </c>
      <c r="G5" s="1" t="n">
        <v>0</v>
      </c>
    </row>
    <row r="6" customFormat="false" ht="15" hidden="false" customHeight="true" outlineLevel="0" collapsed="false">
      <c r="A6" s="1" t="n">
        <v>5</v>
      </c>
      <c r="B6" s="3" t="s">
        <v>15</v>
      </c>
      <c r="C6" s="1" t="s">
        <v>16</v>
      </c>
      <c r="E6" s="1" t="n">
        <v>1000</v>
      </c>
      <c r="F6" s="1" t="n">
        <v>1000</v>
      </c>
      <c r="G6" s="1" t="n">
        <v>0</v>
      </c>
    </row>
    <row r="7" customFormat="false" ht="15" hidden="false" customHeight="true" outlineLevel="0" collapsed="false">
      <c r="A7" s="1" t="n">
        <v>6</v>
      </c>
      <c r="B7" s="3" t="s">
        <v>17</v>
      </c>
      <c r="C7" s="1" t="s">
        <v>18</v>
      </c>
      <c r="E7" s="1" t="n">
        <v>1000</v>
      </c>
      <c r="F7" s="1" t="n">
        <v>1000</v>
      </c>
      <c r="G7" s="1" t="n">
        <v>0</v>
      </c>
    </row>
    <row r="8" customFormat="false" ht="15" hidden="false" customHeight="true" outlineLevel="0" collapsed="false">
      <c r="A8" s="1" t="n">
        <v>7</v>
      </c>
      <c r="B8" s="3" t="s">
        <v>19</v>
      </c>
      <c r="C8" s="1" t="s">
        <v>20</v>
      </c>
      <c r="E8" s="1" t="n">
        <v>1000</v>
      </c>
      <c r="F8" s="1" t="n">
        <v>1000</v>
      </c>
      <c r="G8" s="1" t="n">
        <v>0</v>
      </c>
    </row>
    <row r="9" customFormat="false" ht="15" hidden="false" customHeight="true" outlineLevel="0" collapsed="false">
      <c r="A9" s="1" t="n">
        <v>8</v>
      </c>
      <c r="B9" s="3" t="s">
        <v>21</v>
      </c>
      <c r="C9" s="1" t="s">
        <v>22</v>
      </c>
      <c r="E9" s="1" t="n">
        <v>1000</v>
      </c>
      <c r="F9" s="1" t="n">
        <v>1000</v>
      </c>
      <c r="G9" s="1" t="n">
        <v>0</v>
      </c>
    </row>
    <row r="10" customFormat="false" ht="15" hidden="false" customHeight="true" outlineLevel="0" collapsed="false">
      <c r="A10" s="1" t="n">
        <v>9</v>
      </c>
      <c r="B10" s="3" t="s">
        <v>23</v>
      </c>
      <c r="C10" s="1" t="s">
        <v>24</v>
      </c>
      <c r="E10" s="1" t="n">
        <v>1000</v>
      </c>
      <c r="F10" s="1" t="n">
        <v>1000</v>
      </c>
      <c r="G10" s="1" t="n">
        <v>0</v>
      </c>
    </row>
    <row r="11" customFormat="false" ht="15" hidden="false" customHeight="true" outlineLevel="0" collapsed="false">
      <c r="A11" s="1" t="n">
        <v>10</v>
      </c>
      <c r="B11" s="3" t="s">
        <v>25</v>
      </c>
      <c r="C11" s="1" t="s">
        <v>26</v>
      </c>
      <c r="E11" s="1" t="n">
        <v>1000</v>
      </c>
      <c r="F11" s="1" t="n">
        <v>1000</v>
      </c>
      <c r="G11" s="1" t="n">
        <v>0</v>
      </c>
    </row>
    <row r="12" customFormat="false" ht="15" hidden="false" customHeight="true" outlineLevel="0" collapsed="false">
      <c r="A12" s="1" t="n">
        <v>11</v>
      </c>
      <c r="B12" s="3" t="s">
        <v>27</v>
      </c>
      <c r="C12" s="1" t="s">
        <v>28</v>
      </c>
      <c r="E12" s="1" t="n">
        <v>1000</v>
      </c>
      <c r="F12" s="1" t="n">
        <v>1000</v>
      </c>
      <c r="G12" s="1" t="n">
        <v>0</v>
      </c>
    </row>
    <row r="13" customFormat="false" ht="15" hidden="false" customHeight="true" outlineLevel="0" collapsed="false">
      <c r="A13" s="1" t="n">
        <v>12</v>
      </c>
      <c r="B13" s="3" t="s">
        <v>29</v>
      </c>
      <c r="C13" s="1" t="s">
        <v>30</v>
      </c>
      <c r="E13" s="1" t="n">
        <v>1000</v>
      </c>
      <c r="F13" s="1" t="n">
        <v>1000</v>
      </c>
      <c r="G13" s="1" t="n">
        <v>0</v>
      </c>
    </row>
    <row r="14" customFormat="false" ht="15" hidden="false" customHeight="true" outlineLevel="0" collapsed="false">
      <c r="A14" s="1" t="n">
        <v>13</v>
      </c>
      <c r="B14" s="3" t="s">
        <v>31</v>
      </c>
      <c r="C14" s="1" t="s">
        <v>32</v>
      </c>
      <c r="E14" s="1" t="n">
        <v>1000</v>
      </c>
      <c r="F14" s="1" t="n">
        <v>1000</v>
      </c>
      <c r="G14" s="1" t="n">
        <v>0</v>
      </c>
    </row>
    <row r="15" customFormat="false" ht="15" hidden="false" customHeight="true" outlineLevel="0" collapsed="false">
      <c r="A15" s="1" t="n">
        <v>14</v>
      </c>
      <c r="B15" s="3" t="s">
        <v>33</v>
      </c>
      <c r="C15" s="1" t="s">
        <v>34</v>
      </c>
      <c r="E15" s="1" t="n">
        <v>1000</v>
      </c>
      <c r="F15" s="1" t="n">
        <v>1000</v>
      </c>
      <c r="G15" s="1" t="n">
        <v>0</v>
      </c>
    </row>
    <row r="16" customFormat="false" ht="15" hidden="false" customHeight="true" outlineLevel="0" collapsed="false">
      <c r="A16" s="1" t="n">
        <v>15</v>
      </c>
      <c r="B16" s="3" t="s">
        <v>35</v>
      </c>
      <c r="C16" s="1" t="s">
        <v>36</v>
      </c>
      <c r="E16" s="1" t="n">
        <v>1000</v>
      </c>
      <c r="F16" s="1" t="n">
        <v>1000</v>
      </c>
      <c r="G16" s="1" t="n">
        <v>0</v>
      </c>
    </row>
    <row r="17" customFormat="false" ht="15" hidden="false" customHeight="true" outlineLevel="0" collapsed="false">
      <c r="A17" s="1" t="n">
        <v>16</v>
      </c>
      <c r="B17" s="3" t="s">
        <v>37</v>
      </c>
      <c r="C17" s="1" t="s">
        <v>38</v>
      </c>
      <c r="E17" s="1" t="n">
        <v>1000</v>
      </c>
      <c r="F17" s="1" t="n">
        <v>1000</v>
      </c>
      <c r="G17" s="1" t="n">
        <v>0</v>
      </c>
    </row>
    <row r="18" customFormat="false" ht="15" hidden="false" customHeight="true" outlineLevel="0" collapsed="false">
      <c r="A18" s="1" t="n">
        <v>17</v>
      </c>
      <c r="B18" s="3" t="s">
        <v>39</v>
      </c>
      <c r="C18" s="1" t="s">
        <v>40</v>
      </c>
      <c r="E18" s="1" t="n">
        <v>1000</v>
      </c>
      <c r="F18" s="1" t="n">
        <v>1000</v>
      </c>
      <c r="G18" s="1" t="n">
        <v>0</v>
      </c>
    </row>
    <row r="19" customFormat="false" ht="15" hidden="false" customHeight="true" outlineLevel="0" collapsed="false">
      <c r="A19" s="1" t="n">
        <v>18</v>
      </c>
      <c r="B19" s="3" t="s">
        <v>41</v>
      </c>
      <c r="C19" s="1" t="s">
        <v>42</v>
      </c>
      <c r="E19" s="1" t="n">
        <v>1000</v>
      </c>
      <c r="F19" s="1" t="n">
        <v>1000</v>
      </c>
      <c r="G19" s="1" t="n">
        <v>0</v>
      </c>
    </row>
    <row r="20" customFormat="false" ht="15" hidden="false" customHeight="true" outlineLevel="0" collapsed="false">
      <c r="A20" s="1" t="n">
        <v>19</v>
      </c>
      <c r="B20" s="3" t="s">
        <v>43</v>
      </c>
      <c r="C20" s="1" t="s">
        <v>44</v>
      </c>
      <c r="E20" s="1" t="n">
        <v>1000</v>
      </c>
      <c r="F20" s="1" t="n">
        <v>1000</v>
      </c>
      <c r="G20" s="1" t="n">
        <v>0</v>
      </c>
    </row>
    <row r="21" customFormat="false" ht="15" hidden="false" customHeight="true" outlineLevel="0" collapsed="false">
      <c r="A21" s="1" t="n">
        <v>20</v>
      </c>
      <c r="B21" s="3" t="s">
        <v>45</v>
      </c>
      <c r="C21" s="1" t="s">
        <v>46</v>
      </c>
      <c r="E21" s="1" t="n">
        <v>1000</v>
      </c>
      <c r="F21" s="1" t="n">
        <v>1000</v>
      </c>
      <c r="G21" s="1" t="n">
        <v>0</v>
      </c>
    </row>
    <row r="22" customFormat="false" ht="15" hidden="false" customHeight="true" outlineLevel="0" collapsed="false">
      <c r="A22" s="1" t="n">
        <v>21</v>
      </c>
      <c r="B22" s="3" t="s">
        <v>47</v>
      </c>
      <c r="C22" s="1" t="s">
        <v>48</v>
      </c>
      <c r="E22" s="1" t="n">
        <v>1000</v>
      </c>
      <c r="F22" s="1" t="n">
        <v>1000</v>
      </c>
      <c r="G22" s="1" t="n">
        <v>0</v>
      </c>
    </row>
    <row r="23" customFormat="false" ht="15" hidden="false" customHeight="true" outlineLevel="0" collapsed="false">
      <c r="A23" s="1" t="n">
        <v>22</v>
      </c>
      <c r="B23" s="3" t="s">
        <v>49</v>
      </c>
      <c r="C23" s="1" t="s">
        <v>50</v>
      </c>
      <c r="E23" s="1" t="n">
        <v>1000</v>
      </c>
      <c r="F23" s="1" t="n">
        <v>1000</v>
      </c>
      <c r="G23" s="1" t="n">
        <v>0</v>
      </c>
    </row>
    <row r="24" customFormat="false" ht="15" hidden="false" customHeight="true" outlineLevel="0" collapsed="false">
      <c r="A24" s="1" t="n">
        <v>23</v>
      </c>
      <c r="B24" s="3" t="s">
        <v>51</v>
      </c>
      <c r="C24" s="1" t="s">
        <v>52</v>
      </c>
      <c r="E24" s="1" t="n">
        <v>1000</v>
      </c>
      <c r="F24" s="1" t="n">
        <v>1000</v>
      </c>
      <c r="G24" s="1" t="n">
        <v>0</v>
      </c>
    </row>
    <row r="25" customFormat="false" ht="15" hidden="false" customHeight="true" outlineLevel="0" collapsed="false">
      <c r="A25" s="1" t="n">
        <v>24</v>
      </c>
      <c r="B25" s="3" t="s">
        <v>53</v>
      </c>
      <c r="C25" s="1" t="s">
        <v>54</v>
      </c>
      <c r="E25" s="1" t="n">
        <v>1000</v>
      </c>
      <c r="F25" s="1" t="n">
        <v>1000</v>
      </c>
      <c r="G25" s="1" t="n">
        <v>0</v>
      </c>
    </row>
    <row r="26" customFormat="false" ht="15" hidden="false" customHeight="true" outlineLevel="0" collapsed="false">
      <c r="A26" s="1" t="n">
        <v>25</v>
      </c>
      <c r="B26" s="3" t="s">
        <v>55</v>
      </c>
      <c r="C26" s="1" t="s">
        <v>56</v>
      </c>
      <c r="E26" s="1" t="n">
        <v>1000</v>
      </c>
      <c r="F26" s="1" t="n">
        <v>1000</v>
      </c>
      <c r="G26" s="1" t="n">
        <v>0</v>
      </c>
    </row>
    <row r="27" customFormat="false" ht="15" hidden="false" customHeight="true" outlineLevel="0" collapsed="false">
      <c r="A27" s="1" t="n">
        <v>26</v>
      </c>
      <c r="B27" s="3" t="s">
        <v>57</v>
      </c>
      <c r="C27" s="1" t="s">
        <v>58</v>
      </c>
      <c r="E27" s="1" t="n">
        <v>1000</v>
      </c>
      <c r="F27" s="1" t="n">
        <v>1000</v>
      </c>
      <c r="G27" s="1" t="n">
        <v>0</v>
      </c>
    </row>
    <row r="28" customFormat="false" ht="15" hidden="false" customHeight="true" outlineLevel="0" collapsed="false">
      <c r="A28" s="1" t="n">
        <v>27</v>
      </c>
      <c r="B28" s="3" t="s">
        <v>59</v>
      </c>
      <c r="C28" s="1" t="s">
        <v>60</v>
      </c>
      <c r="E28" s="1" t="n">
        <v>1000</v>
      </c>
      <c r="F28" s="1" t="n">
        <v>1000</v>
      </c>
      <c r="G28" s="1" t="n">
        <v>0</v>
      </c>
    </row>
    <row r="29" customFormat="false" ht="15" hidden="false" customHeight="true" outlineLevel="0" collapsed="false">
      <c r="A29" s="1" t="n">
        <v>28</v>
      </c>
      <c r="B29" s="3" t="s">
        <v>61</v>
      </c>
      <c r="C29" s="1" t="s">
        <v>62</v>
      </c>
      <c r="E29" s="1" t="n">
        <v>1000</v>
      </c>
      <c r="F29" s="1" t="n">
        <v>1000</v>
      </c>
      <c r="G29" s="1" t="n">
        <v>0</v>
      </c>
    </row>
    <row r="30" customFormat="false" ht="15" hidden="false" customHeight="true" outlineLevel="0" collapsed="false">
      <c r="A30" s="1" t="n">
        <v>29</v>
      </c>
      <c r="B30" s="3" t="s">
        <v>63</v>
      </c>
      <c r="C30" s="1" t="s">
        <v>64</v>
      </c>
      <c r="E30" s="1" t="n">
        <v>1000</v>
      </c>
      <c r="F30" s="1" t="n">
        <v>1000</v>
      </c>
      <c r="G30" s="1" t="n">
        <v>0</v>
      </c>
    </row>
    <row r="31" customFormat="false" ht="15" hidden="false" customHeight="true" outlineLevel="0" collapsed="false">
      <c r="A31" s="1" t="n">
        <v>30</v>
      </c>
      <c r="B31" s="3" t="s">
        <v>65</v>
      </c>
      <c r="C31" s="1" t="s">
        <v>66</v>
      </c>
      <c r="E31" s="1" t="n">
        <v>1000</v>
      </c>
      <c r="F31" s="1" t="n">
        <v>1000</v>
      </c>
      <c r="G31" s="1" t="n">
        <v>0</v>
      </c>
    </row>
    <row r="32" customFormat="false" ht="15" hidden="false" customHeight="true" outlineLevel="0" collapsed="false">
      <c r="A32" s="1" t="n">
        <v>31</v>
      </c>
      <c r="B32" s="3" t="s">
        <v>67</v>
      </c>
      <c r="C32" s="1" t="s">
        <v>68</v>
      </c>
      <c r="E32" s="1" t="n">
        <v>1000</v>
      </c>
      <c r="F32" s="1" t="n">
        <v>1000</v>
      </c>
      <c r="G32" s="1" t="n">
        <v>0</v>
      </c>
    </row>
    <row r="33" customFormat="false" ht="15" hidden="false" customHeight="true" outlineLevel="0" collapsed="false">
      <c r="A33" s="1" t="n">
        <v>32</v>
      </c>
      <c r="B33" s="3" t="s">
        <v>69</v>
      </c>
      <c r="C33" s="1" t="s">
        <v>70</v>
      </c>
      <c r="E33" s="1" t="n">
        <v>1000</v>
      </c>
      <c r="F33" s="1" t="n">
        <v>1000</v>
      </c>
      <c r="G33" s="1" t="n">
        <v>0</v>
      </c>
    </row>
    <row r="34" customFormat="false" ht="15" hidden="false" customHeight="true" outlineLevel="0" collapsed="false">
      <c r="A34" s="1" t="n">
        <v>33</v>
      </c>
      <c r="B34" s="3" t="s">
        <v>71</v>
      </c>
      <c r="C34" s="1" t="s">
        <v>72</v>
      </c>
      <c r="E34" s="1" t="n">
        <v>1000</v>
      </c>
      <c r="F34" s="1" t="n">
        <v>1000</v>
      </c>
      <c r="G34" s="1" t="n">
        <v>0</v>
      </c>
    </row>
    <row r="35" customFormat="false" ht="15" hidden="false" customHeight="true" outlineLevel="0" collapsed="false">
      <c r="A35" s="1" t="n">
        <v>34</v>
      </c>
      <c r="B35" s="3" t="s">
        <v>73</v>
      </c>
      <c r="C35" s="1" t="s">
        <v>74</v>
      </c>
      <c r="E35" s="1" t="n">
        <v>1000</v>
      </c>
      <c r="F35" s="1" t="n">
        <v>1000</v>
      </c>
      <c r="G35" s="1" t="n">
        <v>0</v>
      </c>
    </row>
    <row r="36" customFormat="false" ht="15" hidden="false" customHeight="true" outlineLevel="0" collapsed="false">
      <c r="A36" s="1" t="n">
        <v>35</v>
      </c>
      <c r="B36" s="3" t="s">
        <v>75</v>
      </c>
      <c r="C36" s="1" t="s">
        <v>76</v>
      </c>
      <c r="E36" s="1" t="n">
        <v>1000</v>
      </c>
      <c r="F36" s="1" t="n">
        <v>1000</v>
      </c>
      <c r="G36" s="1" t="n">
        <v>0</v>
      </c>
    </row>
    <row r="37" customFormat="false" ht="15" hidden="false" customHeight="true" outlineLevel="0" collapsed="false">
      <c r="A37" s="1" t="n">
        <v>36</v>
      </c>
      <c r="B37" s="3" t="s">
        <v>77</v>
      </c>
      <c r="C37" s="1" t="s">
        <v>78</v>
      </c>
      <c r="E37" s="1" t="n">
        <v>1000</v>
      </c>
      <c r="F37" s="1" t="n">
        <v>1000</v>
      </c>
      <c r="G37" s="1" t="n">
        <v>0</v>
      </c>
    </row>
    <row r="38" customFormat="false" ht="15" hidden="false" customHeight="true" outlineLevel="0" collapsed="false">
      <c r="A38" s="1" t="n">
        <v>37</v>
      </c>
      <c r="B38" s="3" t="s">
        <v>79</v>
      </c>
      <c r="C38" s="1" t="s">
        <v>80</v>
      </c>
      <c r="E38" s="1" t="n">
        <v>1000</v>
      </c>
      <c r="F38" s="1" t="n">
        <v>1000</v>
      </c>
      <c r="G38" s="1" t="n">
        <v>0</v>
      </c>
    </row>
    <row r="39" customFormat="false" ht="15" hidden="false" customHeight="true" outlineLevel="0" collapsed="false">
      <c r="A39" s="1" t="n">
        <v>38</v>
      </c>
      <c r="B39" s="3" t="s">
        <v>81</v>
      </c>
      <c r="C39" s="1" t="s">
        <v>82</v>
      </c>
      <c r="E39" s="1" t="n">
        <v>1000</v>
      </c>
      <c r="F39" s="1" t="n">
        <v>1000</v>
      </c>
      <c r="G39" s="1" t="n">
        <v>0</v>
      </c>
    </row>
    <row r="40" customFormat="false" ht="15" hidden="false" customHeight="true" outlineLevel="0" collapsed="false">
      <c r="A40" s="1" t="n">
        <v>39</v>
      </c>
      <c r="B40" s="3" t="s">
        <v>83</v>
      </c>
      <c r="C40" s="1" t="s">
        <v>84</v>
      </c>
      <c r="E40" s="1" t="n">
        <v>1000</v>
      </c>
      <c r="F40" s="1" t="n">
        <v>1000</v>
      </c>
      <c r="G40" s="1" t="n">
        <v>0</v>
      </c>
    </row>
    <row r="41" customFormat="false" ht="15" hidden="false" customHeight="true" outlineLevel="0" collapsed="false">
      <c r="A41" s="1" t="n">
        <v>40</v>
      </c>
      <c r="B41" s="3" t="s">
        <v>85</v>
      </c>
      <c r="C41" s="1" t="s">
        <v>86</v>
      </c>
      <c r="E41" s="1" t="n">
        <v>1000</v>
      </c>
      <c r="F41" s="1" t="n">
        <v>1000</v>
      </c>
      <c r="G41" s="1" t="n">
        <v>0</v>
      </c>
    </row>
    <row r="42" customFormat="false" ht="15" hidden="false" customHeight="true" outlineLevel="0" collapsed="false">
      <c r="A42" s="1" t="n">
        <v>41</v>
      </c>
      <c r="B42" s="3" t="s">
        <v>87</v>
      </c>
      <c r="C42" s="1" t="s">
        <v>88</v>
      </c>
      <c r="E42" s="1" t="n">
        <v>1000</v>
      </c>
      <c r="F42" s="1" t="n">
        <v>1000</v>
      </c>
      <c r="G42" s="1" t="n">
        <v>0</v>
      </c>
    </row>
    <row r="43" customFormat="false" ht="15" hidden="false" customHeight="true" outlineLevel="0" collapsed="false">
      <c r="A43" s="1" t="n">
        <v>42</v>
      </c>
      <c r="B43" s="3" t="s">
        <v>89</v>
      </c>
      <c r="C43" s="1" t="s">
        <v>90</v>
      </c>
      <c r="E43" s="1" t="n">
        <v>1000</v>
      </c>
      <c r="F43" s="1" t="n">
        <v>1000</v>
      </c>
      <c r="G43" s="1" t="n">
        <v>0</v>
      </c>
    </row>
    <row r="44" customFormat="false" ht="15" hidden="false" customHeight="true" outlineLevel="0" collapsed="false">
      <c r="A44" s="1" t="n">
        <v>43</v>
      </c>
      <c r="B44" s="3" t="s">
        <v>91</v>
      </c>
      <c r="C44" s="1" t="s">
        <v>92</v>
      </c>
      <c r="E44" s="1" t="n">
        <v>1000</v>
      </c>
      <c r="F44" s="1" t="n">
        <v>1000</v>
      </c>
      <c r="G44" s="1" t="n">
        <v>0</v>
      </c>
    </row>
    <row r="45" customFormat="false" ht="15" hidden="false" customHeight="true" outlineLevel="0" collapsed="false">
      <c r="A45" s="1" t="n">
        <v>44</v>
      </c>
      <c r="B45" s="3" t="s">
        <v>93</v>
      </c>
      <c r="C45" s="1" t="s">
        <v>94</v>
      </c>
      <c r="E45" s="1" t="n">
        <v>1000</v>
      </c>
      <c r="F45" s="1" t="n">
        <v>1000</v>
      </c>
      <c r="G45" s="1" t="n">
        <v>0</v>
      </c>
    </row>
    <row r="46" customFormat="false" ht="15" hidden="false" customHeight="true" outlineLevel="0" collapsed="false">
      <c r="A46" s="1" t="n">
        <v>45</v>
      </c>
      <c r="B46" s="3" t="s">
        <v>95</v>
      </c>
      <c r="C46" s="1" t="s">
        <v>96</v>
      </c>
      <c r="E46" s="1" t="n">
        <v>1000</v>
      </c>
      <c r="F46" s="1" t="n">
        <v>1000</v>
      </c>
      <c r="G46" s="1" t="n">
        <v>0</v>
      </c>
    </row>
    <row r="47" customFormat="false" ht="15" hidden="false" customHeight="true" outlineLevel="0" collapsed="false">
      <c r="A47" s="1" t="n">
        <v>46</v>
      </c>
      <c r="B47" s="3" t="s">
        <v>97</v>
      </c>
      <c r="C47" s="1" t="s">
        <v>98</v>
      </c>
      <c r="E47" s="1" t="n">
        <v>1000</v>
      </c>
      <c r="F47" s="1" t="n">
        <v>1000</v>
      </c>
      <c r="G47" s="1" t="n">
        <v>0</v>
      </c>
    </row>
    <row r="48" customFormat="false" ht="15" hidden="false" customHeight="true" outlineLevel="0" collapsed="false">
      <c r="A48" s="1" t="n">
        <v>47</v>
      </c>
      <c r="B48" s="3" t="s">
        <v>99</v>
      </c>
      <c r="C48" s="1" t="s">
        <v>100</v>
      </c>
      <c r="E48" s="1" t="n">
        <v>1000</v>
      </c>
      <c r="F48" s="1" t="n">
        <v>1000</v>
      </c>
      <c r="G48" s="1" t="n">
        <v>0</v>
      </c>
    </row>
    <row r="49" customFormat="false" ht="15" hidden="false" customHeight="true" outlineLevel="0" collapsed="false">
      <c r="A49" s="1" t="n">
        <v>48</v>
      </c>
      <c r="B49" s="3" t="s">
        <v>101</v>
      </c>
      <c r="C49" s="1" t="s">
        <v>102</v>
      </c>
      <c r="E49" s="1" t="n">
        <v>1000</v>
      </c>
      <c r="F49" s="1" t="n">
        <v>1000</v>
      </c>
      <c r="G49" s="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" width="8.68"/>
    <col collapsed="false" customWidth="true" hidden="false" outlineLevel="0" max="2" min="2" style="1" width="23.09"/>
    <col collapsed="false" customWidth="true" hidden="false" outlineLevel="0" max="3" min="3" style="1" width="15.3"/>
    <col collapsed="false" customWidth="true" hidden="false" outlineLevel="0" max="6" min="4" style="1" width="8.68"/>
    <col collapsed="false" customWidth="true" hidden="false" outlineLevel="0" max="7" min="7" style="1" width="58"/>
  </cols>
  <sheetData>
    <row r="1" customFormat="false" ht="15" hidden="false" customHeight="true" outlineLevel="0" collapsed="false">
      <c r="A1" s="2" t="s">
        <v>103</v>
      </c>
      <c r="B1" s="2" t="s">
        <v>104</v>
      </c>
      <c r="C1" s="2" t="s">
        <v>3</v>
      </c>
      <c r="D1" s="2" t="s">
        <v>105</v>
      </c>
      <c r="E1" s="2" t="s">
        <v>106</v>
      </c>
      <c r="F1" s="2" t="s">
        <v>107</v>
      </c>
      <c r="G1" s="2" t="s">
        <v>108</v>
      </c>
    </row>
    <row r="2" customFormat="false" ht="15" hidden="false" customHeight="true" outlineLevel="0" collapsed="false">
      <c r="A2" s="1" t="s">
        <v>8</v>
      </c>
      <c r="B2" s="1" t="s">
        <v>109</v>
      </c>
      <c r="C2" s="1" t="s">
        <v>110</v>
      </c>
      <c r="F2" s="1" t="s">
        <v>111</v>
      </c>
      <c r="G2" s="1" t="s">
        <v>112</v>
      </c>
    </row>
    <row r="3" customFormat="false" ht="15" hidden="false" customHeight="true" outlineLevel="0" collapsed="false">
      <c r="A3" s="1" t="s">
        <v>10</v>
      </c>
      <c r="B3" s="1" t="s">
        <v>113</v>
      </c>
      <c r="C3" s="1" t="s">
        <v>110</v>
      </c>
      <c r="D3" s="1" t="s">
        <v>9</v>
      </c>
      <c r="E3" s="1" t="n">
        <v>250</v>
      </c>
      <c r="F3" s="1" t="s">
        <v>114</v>
      </c>
      <c r="G3" s="1" t="s">
        <v>112</v>
      </c>
    </row>
    <row r="4" customFormat="false" ht="15" hidden="false" customHeight="true" outlineLevel="0" collapsed="false">
      <c r="A4" s="1" t="s">
        <v>12</v>
      </c>
      <c r="B4" s="1" t="s">
        <v>115</v>
      </c>
      <c r="C4" s="1" t="s">
        <v>110</v>
      </c>
      <c r="F4" s="1" t="s">
        <v>111</v>
      </c>
      <c r="G4" s="1" t="s">
        <v>112</v>
      </c>
    </row>
    <row r="5" customFormat="false" ht="15" hidden="false" customHeight="true" outlineLevel="0" collapsed="false">
      <c r="A5" s="1" t="s">
        <v>14</v>
      </c>
      <c r="B5" s="1" t="s">
        <v>116</v>
      </c>
      <c r="C5" s="1" t="s">
        <v>110</v>
      </c>
      <c r="D5" s="1" t="s">
        <v>13</v>
      </c>
      <c r="E5" s="1" t="n">
        <v>250</v>
      </c>
      <c r="F5" s="1" t="s">
        <v>114</v>
      </c>
      <c r="G5" s="1" t="s">
        <v>112</v>
      </c>
    </row>
    <row r="6" customFormat="false" ht="15" hidden="false" customHeight="true" outlineLevel="0" collapsed="false">
      <c r="A6" s="1" t="s">
        <v>16</v>
      </c>
      <c r="B6" s="1" t="s">
        <v>117</v>
      </c>
      <c r="C6" s="1" t="s">
        <v>110</v>
      </c>
      <c r="D6" s="1" t="s">
        <v>15</v>
      </c>
      <c r="E6" s="1" t="n">
        <v>250</v>
      </c>
      <c r="F6" s="1" t="s">
        <v>114</v>
      </c>
      <c r="G6" s="1" t="s">
        <v>112</v>
      </c>
    </row>
    <row r="7" customFormat="false" ht="15" hidden="false" customHeight="true" outlineLevel="0" collapsed="false">
      <c r="A7" s="1" t="s">
        <v>18</v>
      </c>
      <c r="B7" s="1" t="s">
        <v>118</v>
      </c>
      <c r="C7" s="1" t="s">
        <v>119</v>
      </c>
      <c r="F7" s="1" t="s">
        <v>111</v>
      </c>
      <c r="G7" s="1" t="s">
        <v>119</v>
      </c>
    </row>
    <row r="8" customFormat="false" ht="15" hidden="false" customHeight="true" outlineLevel="0" collapsed="false">
      <c r="A8" s="1" t="s">
        <v>20</v>
      </c>
      <c r="B8" s="1" t="s">
        <v>120</v>
      </c>
      <c r="C8" s="1" t="s">
        <v>119</v>
      </c>
      <c r="F8" s="1" t="s">
        <v>111</v>
      </c>
      <c r="G8" s="1" t="s">
        <v>119</v>
      </c>
    </row>
    <row r="9" customFormat="false" ht="15" hidden="false" customHeight="true" outlineLevel="0" collapsed="false">
      <c r="A9" s="1" t="s">
        <v>22</v>
      </c>
      <c r="B9" s="1" t="s">
        <v>121</v>
      </c>
      <c r="C9" s="1" t="s">
        <v>110</v>
      </c>
      <c r="F9" s="1" t="s">
        <v>111</v>
      </c>
      <c r="G9" s="1" t="s">
        <v>112</v>
      </c>
    </row>
    <row r="10" customFormat="false" ht="15" hidden="false" customHeight="true" outlineLevel="0" collapsed="false">
      <c r="A10" s="1" t="s">
        <v>24</v>
      </c>
      <c r="B10" s="1" t="s">
        <v>122</v>
      </c>
      <c r="C10" s="1" t="s">
        <v>123</v>
      </c>
      <c r="F10" s="1" t="s">
        <v>111</v>
      </c>
      <c r="G10" s="1" t="s">
        <v>112</v>
      </c>
    </row>
    <row r="11" customFormat="false" ht="15" hidden="false" customHeight="true" outlineLevel="0" collapsed="false">
      <c r="A11" s="1" t="s">
        <v>26</v>
      </c>
      <c r="B11" s="1" t="s">
        <v>124</v>
      </c>
      <c r="C11" s="1" t="s">
        <v>125</v>
      </c>
      <c r="F11" s="1" t="s">
        <v>111</v>
      </c>
      <c r="G11" s="1" t="s">
        <v>126</v>
      </c>
    </row>
    <row r="12" customFormat="false" ht="15" hidden="false" customHeight="true" outlineLevel="0" collapsed="false">
      <c r="A12" s="1" t="s">
        <v>28</v>
      </c>
      <c r="B12" s="1" t="s">
        <v>127</v>
      </c>
      <c r="C12" s="1" t="s">
        <v>128</v>
      </c>
      <c r="F12" s="1" t="s">
        <v>111</v>
      </c>
      <c r="G12" s="1" t="s">
        <v>129</v>
      </c>
    </row>
    <row r="13" customFormat="false" ht="15" hidden="false" customHeight="true" outlineLevel="0" collapsed="false">
      <c r="A13" s="1" t="s">
        <v>30</v>
      </c>
      <c r="B13" s="1" t="s">
        <v>130</v>
      </c>
      <c r="C13" s="1" t="s">
        <v>110</v>
      </c>
      <c r="F13" s="1" t="s">
        <v>111</v>
      </c>
      <c r="G13" s="1" t="s">
        <v>110</v>
      </c>
    </row>
    <row r="14" customFormat="false" ht="15" hidden="false" customHeight="true" outlineLevel="0" collapsed="false">
      <c r="A14" s="1" t="s">
        <v>32</v>
      </c>
      <c r="B14" s="1" t="s">
        <v>131</v>
      </c>
      <c r="C14" s="1" t="s">
        <v>110</v>
      </c>
      <c r="F14" s="1" t="s">
        <v>111</v>
      </c>
      <c r="G14" s="1" t="s">
        <v>110</v>
      </c>
    </row>
    <row r="15" customFormat="false" ht="15" hidden="false" customHeight="true" outlineLevel="0" collapsed="false">
      <c r="A15" s="1" t="s">
        <v>34</v>
      </c>
      <c r="B15" s="1" t="s">
        <v>132</v>
      </c>
      <c r="C15" s="1" t="s">
        <v>125</v>
      </c>
      <c r="F15" s="1" t="s">
        <v>111</v>
      </c>
      <c r="G15" s="1" t="s">
        <v>133</v>
      </c>
    </row>
    <row r="16" customFormat="false" ht="15" hidden="false" customHeight="true" outlineLevel="0" collapsed="false">
      <c r="A16" s="1" t="s">
        <v>36</v>
      </c>
      <c r="B16" s="1" t="s">
        <v>134</v>
      </c>
      <c r="C16" s="1" t="s">
        <v>128</v>
      </c>
      <c r="F16" s="1" t="s">
        <v>111</v>
      </c>
      <c r="G16" s="1" t="s">
        <v>128</v>
      </c>
    </row>
    <row r="17" customFormat="false" ht="15" hidden="false" customHeight="true" outlineLevel="0" collapsed="false">
      <c r="A17" s="1" t="s">
        <v>38</v>
      </c>
      <c r="B17" s="1" t="s">
        <v>135</v>
      </c>
      <c r="C17" s="1" t="s">
        <v>110</v>
      </c>
      <c r="F17" s="1" t="s">
        <v>111</v>
      </c>
      <c r="G17" s="1" t="s">
        <v>110</v>
      </c>
    </row>
    <row r="18" customFormat="false" ht="15" hidden="false" customHeight="true" outlineLevel="0" collapsed="false">
      <c r="A18" s="1" t="s">
        <v>40</v>
      </c>
      <c r="B18" s="1" t="s">
        <v>136</v>
      </c>
      <c r="C18" s="1" t="s">
        <v>123</v>
      </c>
      <c r="F18" s="1" t="s">
        <v>111</v>
      </c>
      <c r="G18" s="1" t="s">
        <v>112</v>
      </c>
    </row>
    <row r="19" customFormat="false" ht="15" hidden="false" customHeight="true" outlineLevel="0" collapsed="false">
      <c r="A19" s="1" t="s">
        <v>42</v>
      </c>
      <c r="B19" s="1" t="s">
        <v>137</v>
      </c>
      <c r="C19" s="1" t="s">
        <v>123</v>
      </c>
      <c r="F19" s="1" t="s">
        <v>111</v>
      </c>
      <c r="G19" s="1" t="s">
        <v>112</v>
      </c>
    </row>
    <row r="20" customFormat="false" ht="15" hidden="false" customHeight="true" outlineLevel="0" collapsed="false">
      <c r="A20" s="1" t="s">
        <v>44</v>
      </c>
      <c r="B20" s="1" t="s">
        <v>138</v>
      </c>
      <c r="C20" s="1" t="s">
        <v>123</v>
      </c>
      <c r="F20" s="1" t="s">
        <v>111</v>
      </c>
      <c r="G20" s="1" t="s">
        <v>139</v>
      </c>
    </row>
    <row r="21" customFormat="false" ht="15" hidden="false" customHeight="true" outlineLevel="0" collapsed="false">
      <c r="A21" s="1" t="s">
        <v>46</v>
      </c>
      <c r="B21" s="1" t="s">
        <v>140</v>
      </c>
      <c r="C21" s="1" t="s">
        <v>123</v>
      </c>
      <c r="F21" s="1" t="s">
        <v>111</v>
      </c>
      <c r="G21" s="1" t="s">
        <v>112</v>
      </c>
    </row>
    <row r="22" customFormat="false" ht="15" hidden="false" customHeight="true" outlineLevel="0" collapsed="false">
      <c r="A22" s="1" t="s">
        <v>48</v>
      </c>
      <c r="B22" s="1" t="s">
        <v>141</v>
      </c>
      <c r="C22" s="1" t="s">
        <v>119</v>
      </c>
      <c r="F22" s="1" t="s">
        <v>111</v>
      </c>
      <c r="G22" s="1" t="s">
        <v>142</v>
      </c>
    </row>
    <row r="23" customFormat="false" ht="15" hidden="false" customHeight="true" outlineLevel="0" collapsed="false">
      <c r="A23" s="1" t="s">
        <v>50</v>
      </c>
      <c r="B23" s="1" t="s">
        <v>143</v>
      </c>
      <c r="C23" s="1" t="s">
        <v>119</v>
      </c>
      <c r="F23" s="1" t="s">
        <v>111</v>
      </c>
      <c r="G23" s="1" t="s">
        <v>119</v>
      </c>
    </row>
    <row r="24" customFormat="false" ht="15" hidden="false" customHeight="true" outlineLevel="0" collapsed="false">
      <c r="A24" s="1" t="s">
        <v>52</v>
      </c>
      <c r="B24" s="1" t="s">
        <v>144</v>
      </c>
      <c r="C24" s="1" t="s">
        <v>119</v>
      </c>
      <c r="F24" s="1" t="s">
        <v>111</v>
      </c>
      <c r="G24" s="1" t="s">
        <v>145</v>
      </c>
    </row>
    <row r="25" customFormat="false" ht="15" hidden="false" customHeight="true" outlineLevel="0" collapsed="false">
      <c r="A25" s="1" t="s">
        <v>54</v>
      </c>
      <c r="B25" s="1" t="s">
        <v>146</v>
      </c>
      <c r="C25" s="1" t="s">
        <v>119</v>
      </c>
      <c r="F25" s="1" t="s">
        <v>111</v>
      </c>
      <c r="G25" s="1" t="s">
        <v>139</v>
      </c>
    </row>
    <row r="26" customFormat="false" ht="15" hidden="false" customHeight="true" outlineLevel="0" collapsed="false">
      <c r="A26" s="1" t="s">
        <v>56</v>
      </c>
      <c r="B26" s="1" t="s">
        <v>147</v>
      </c>
      <c r="C26" s="1" t="s">
        <v>110</v>
      </c>
      <c r="F26" s="1" t="s">
        <v>111</v>
      </c>
      <c r="G26" s="1" t="s">
        <v>110</v>
      </c>
    </row>
    <row r="27" customFormat="false" ht="15" hidden="false" customHeight="true" outlineLevel="0" collapsed="false">
      <c r="A27" s="1" t="s">
        <v>58</v>
      </c>
      <c r="B27" s="1" t="s">
        <v>148</v>
      </c>
      <c r="C27" s="1" t="s">
        <v>119</v>
      </c>
      <c r="F27" s="1" t="s">
        <v>111</v>
      </c>
      <c r="G27" s="1" t="s">
        <v>119</v>
      </c>
    </row>
    <row r="28" customFormat="false" ht="15" hidden="false" customHeight="true" outlineLevel="0" collapsed="false">
      <c r="A28" s="1" t="s">
        <v>60</v>
      </c>
      <c r="B28" s="1" t="s">
        <v>149</v>
      </c>
      <c r="C28" s="1" t="s">
        <v>119</v>
      </c>
      <c r="F28" s="1" t="s">
        <v>111</v>
      </c>
      <c r="G28" s="1" t="s">
        <v>150</v>
      </c>
    </row>
    <row r="29" customFormat="false" ht="15" hidden="false" customHeight="true" outlineLevel="0" collapsed="false">
      <c r="A29" s="1" t="s">
        <v>62</v>
      </c>
      <c r="B29" s="1" t="s">
        <v>151</v>
      </c>
      <c r="C29" s="1" t="s">
        <v>110</v>
      </c>
      <c r="F29" s="1" t="s">
        <v>111</v>
      </c>
      <c r="G29" s="1" t="s">
        <v>150</v>
      </c>
    </row>
    <row r="30" customFormat="false" ht="15" hidden="false" customHeight="true" outlineLevel="0" collapsed="false">
      <c r="A30" s="1" t="s">
        <v>64</v>
      </c>
      <c r="B30" s="1" t="s">
        <v>152</v>
      </c>
      <c r="C30" s="1" t="s">
        <v>110</v>
      </c>
      <c r="F30" s="1" t="s">
        <v>111</v>
      </c>
      <c r="G30" s="1" t="s">
        <v>112</v>
      </c>
    </row>
    <row r="31" customFormat="false" ht="15" hidden="false" customHeight="true" outlineLevel="0" collapsed="false">
      <c r="A31" s="1" t="s">
        <v>66</v>
      </c>
      <c r="B31" s="1" t="s">
        <v>153</v>
      </c>
      <c r="C31" s="1" t="s">
        <v>110</v>
      </c>
      <c r="F31" s="1" t="s">
        <v>111</v>
      </c>
      <c r="G31" s="1" t="s">
        <v>112</v>
      </c>
    </row>
    <row r="32" customFormat="false" ht="15" hidden="false" customHeight="true" outlineLevel="0" collapsed="false">
      <c r="A32" s="1" t="s">
        <v>68</v>
      </c>
      <c r="B32" s="1" t="s">
        <v>154</v>
      </c>
      <c r="C32" s="1" t="s">
        <v>110</v>
      </c>
      <c r="F32" s="1" t="s">
        <v>111</v>
      </c>
      <c r="G32" s="1" t="s">
        <v>112</v>
      </c>
    </row>
    <row r="33" customFormat="false" ht="15" hidden="false" customHeight="true" outlineLevel="0" collapsed="false">
      <c r="A33" s="1" t="s">
        <v>70</v>
      </c>
      <c r="B33" s="1" t="s">
        <v>155</v>
      </c>
      <c r="C33" s="1" t="s">
        <v>123</v>
      </c>
      <c r="F33" s="1" t="s">
        <v>111</v>
      </c>
      <c r="G33" s="1" t="s">
        <v>139</v>
      </c>
    </row>
    <row r="34" customFormat="false" ht="15" hidden="false" customHeight="true" outlineLevel="0" collapsed="false">
      <c r="A34" s="1" t="s">
        <v>72</v>
      </c>
      <c r="B34" s="1" t="s">
        <v>156</v>
      </c>
      <c r="C34" s="1" t="s">
        <v>123</v>
      </c>
      <c r="F34" s="1" t="s">
        <v>111</v>
      </c>
      <c r="G34" s="1" t="s">
        <v>112</v>
      </c>
    </row>
    <row r="35" customFormat="false" ht="15" hidden="false" customHeight="true" outlineLevel="0" collapsed="false">
      <c r="A35" s="1" t="s">
        <v>74</v>
      </c>
      <c r="B35" s="1" t="s">
        <v>157</v>
      </c>
      <c r="C35" s="1" t="s">
        <v>125</v>
      </c>
      <c r="F35" s="1" t="s">
        <v>111</v>
      </c>
      <c r="G35" s="1" t="s">
        <v>133</v>
      </c>
    </row>
    <row r="36" customFormat="false" ht="15" hidden="false" customHeight="true" outlineLevel="0" collapsed="false">
      <c r="A36" s="1" t="s">
        <v>76</v>
      </c>
      <c r="B36" s="1" t="s">
        <v>158</v>
      </c>
      <c r="C36" s="1" t="s">
        <v>128</v>
      </c>
      <c r="F36" s="1" t="s">
        <v>111</v>
      </c>
      <c r="G36" s="1" t="s">
        <v>129</v>
      </c>
    </row>
    <row r="37" customFormat="false" ht="15" hidden="false" customHeight="true" outlineLevel="0" collapsed="false">
      <c r="A37" s="1" t="s">
        <v>78</v>
      </c>
      <c r="B37" s="1" t="s">
        <v>159</v>
      </c>
      <c r="C37" s="1" t="s">
        <v>128</v>
      </c>
      <c r="F37" s="1" t="s">
        <v>111</v>
      </c>
      <c r="G37" s="1" t="s">
        <v>129</v>
      </c>
    </row>
    <row r="38" customFormat="false" ht="15" hidden="false" customHeight="true" outlineLevel="0" collapsed="false">
      <c r="A38" s="1" t="s">
        <v>80</v>
      </c>
      <c r="B38" s="1" t="s">
        <v>160</v>
      </c>
      <c r="C38" s="1" t="s">
        <v>128</v>
      </c>
      <c r="F38" s="1" t="s">
        <v>111</v>
      </c>
      <c r="G38" s="1" t="s">
        <v>161</v>
      </c>
    </row>
    <row r="39" customFormat="false" ht="15" hidden="false" customHeight="true" outlineLevel="0" collapsed="false">
      <c r="A39" s="1" t="s">
        <v>82</v>
      </c>
      <c r="B39" s="1" t="s">
        <v>162</v>
      </c>
      <c r="C39" s="1" t="s">
        <v>128</v>
      </c>
      <c r="F39" s="1" t="s">
        <v>111</v>
      </c>
      <c r="G39" s="1" t="s">
        <v>163</v>
      </c>
    </row>
    <row r="40" customFormat="false" ht="15" hidden="false" customHeight="true" outlineLevel="0" collapsed="false">
      <c r="A40" s="1" t="s">
        <v>84</v>
      </c>
      <c r="B40" s="1" t="s">
        <v>164</v>
      </c>
      <c r="C40" s="1" t="s">
        <v>128</v>
      </c>
      <c r="F40" s="1" t="s">
        <v>111</v>
      </c>
      <c r="G40" s="1" t="s">
        <v>163</v>
      </c>
    </row>
    <row r="41" customFormat="false" ht="15" hidden="false" customHeight="true" outlineLevel="0" collapsed="false">
      <c r="A41" s="1" t="s">
        <v>86</v>
      </c>
      <c r="B41" s="1" t="s">
        <v>165</v>
      </c>
      <c r="C41" s="1" t="s">
        <v>128</v>
      </c>
      <c r="F41" s="1" t="s">
        <v>111</v>
      </c>
      <c r="G41" s="1" t="s">
        <v>128</v>
      </c>
    </row>
    <row r="42" customFormat="false" ht="15" hidden="false" customHeight="true" outlineLevel="0" collapsed="false">
      <c r="A42" s="1" t="s">
        <v>88</v>
      </c>
      <c r="B42" s="1" t="s">
        <v>166</v>
      </c>
      <c r="C42" s="1" t="s">
        <v>128</v>
      </c>
      <c r="F42" s="1" t="s">
        <v>111</v>
      </c>
      <c r="G42" s="1" t="s">
        <v>128</v>
      </c>
    </row>
    <row r="43" customFormat="false" ht="15" hidden="false" customHeight="true" outlineLevel="0" collapsed="false">
      <c r="A43" s="1" t="s">
        <v>90</v>
      </c>
      <c r="B43" s="1" t="s">
        <v>167</v>
      </c>
      <c r="C43" s="1" t="s">
        <v>128</v>
      </c>
      <c r="F43" s="1" t="s">
        <v>111</v>
      </c>
      <c r="G43" s="1" t="s">
        <v>128</v>
      </c>
    </row>
    <row r="44" customFormat="false" ht="15" hidden="false" customHeight="true" outlineLevel="0" collapsed="false">
      <c r="A44" s="1" t="s">
        <v>92</v>
      </c>
      <c r="B44" s="1" t="s">
        <v>168</v>
      </c>
      <c r="C44" s="1" t="s">
        <v>128</v>
      </c>
      <c r="F44" s="1" t="s">
        <v>111</v>
      </c>
      <c r="G44" s="1" t="s">
        <v>128</v>
      </c>
    </row>
    <row r="45" customFormat="false" ht="15" hidden="false" customHeight="true" outlineLevel="0" collapsed="false">
      <c r="A45" s="1" t="s">
        <v>94</v>
      </c>
      <c r="B45" s="1" t="s">
        <v>169</v>
      </c>
      <c r="C45" s="1" t="s">
        <v>110</v>
      </c>
      <c r="F45" s="1" t="s">
        <v>111</v>
      </c>
      <c r="G45" s="1" t="s">
        <v>110</v>
      </c>
    </row>
    <row r="46" customFormat="false" ht="15" hidden="false" customHeight="true" outlineLevel="0" collapsed="false">
      <c r="A46" s="1" t="s">
        <v>96</v>
      </c>
      <c r="B46" s="1" t="s">
        <v>170</v>
      </c>
      <c r="C46" s="1" t="s">
        <v>110</v>
      </c>
      <c r="F46" s="1" t="s">
        <v>111</v>
      </c>
      <c r="G46" s="1" t="s">
        <v>112</v>
      </c>
    </row>
    <row r="47" customFormat="false" ht="15" hidden="false" customHeight="true" outlineLevel="0" collapsed="false">
      <c r="A47" s="1" t="s">
        <v>98</v>
      </c>
      <c r="B47" s="1" t="s">
        <v>171</v>
      </c>
      <c r="C47" s="1" t="s">
        <v>110</v>
      </c>
      <c r="F47" s="1" t="s">
        <v>111</v>
      </c>
      <c r="G47" s="1" t="s">
        <v>172</v>
      </c>
    </row>
    <row r="48" customFormat="false" ht="15" hidden="false" customHeight="true" outlineLevel="0" collapsed="false">
      <c r="A48" s="1" t="s">
        <v>100</v>
      </c>
      <c r="B48" s="1" t="s">
        <v>173</v>
      </c>
      <c r="C48" s="1" t="s">
        <v>110</v>
      </c>
      <c r="F48" s="1" t="s">
        <v>111</v>
      </c>
      <c r="G48" s="1" t="s">
        <v>112</v>
      </c>
    </row>
    <row r="49" customFormat="false" ht="15" hidden="false" customHeight="true" outlineLevel="0" collapsed="false">
      <c r="A49" s="1" t="s">
        <v>102</v>
      </c>
      <c r="B49" s="1" t="s">
        <v>174</v>
      </c>
      <c r="C49" s="1" t="s">
        <v>110</v>
      </c>
      <c r="F49" s="1" t="s">
        <v>111</v>
      </c>
      <c r="G49" s="1" t="s">
        <v>112</v>
      </c>
    </row>
    <row r="50" customFormat="false" ht="15" hidden="false" customHeight="true" outlineLevel="0" collapsed="false">
      <c r="A50" s="1" t="s">
        <v>175</v>
      </c>
      <c r="B50" s="1" t="s">
        <v>176</v>
      </c>
      <c r="C50" s="1" t="s">
        <v>110</v>
      </c>
      <c r="F50" s="1" t="s">
        <v>111</v>
      </c>
      <c r="G50" s="1" t="s">
        <v>163</v>
      </c>
    </row>
    <row r="51" customFormat="false" ht="15" hidden="false" customHeight="true" outlineLevel="0" collapsed="false">
      <c r="A51" s="1" t="s">
        <v>177</v>
      </c>
      <c r="B51" s="1" t="s">
        <v>178</v>
      </c>
      <c r="C51" s="1" t="s">
        <v>128</v>
      </c>
      <c r="F51" s="1" t="s">
        <v>111</v>
      </c>
      <c r="G51" s="1" t="s">
        <v>163</v>
      </c>
    </row>
    <row r="52" customFormat="false" ht="15" hidden="false" customHeight="true" outlineLevel="0" collapsed="false">
      <c r="A52" s="1" t="s">
        <v>179</v>
      </c>
      <c r="B52" s="1" t="s">
        <v>180</v>
      </c>
      <c r="C52" s="1" t="s">
        <v>110</v>
      </c>
      <c r="F52" s="1" t="s">
        <v>111</v>
      </c>
      <c r="G52" s="1" t="s">
        <v>181</v>
      </c>
    </row>
    <row r="53" customFormat="false" ht="15" hidden="false" customHeight="true" outlineLevel="0" collapsed="false">
      <c r="A53" s="1" t="s">
        <v>182</v>
      </c>
      <c r="B53" s="1" t="s">
        <v>183</v>
      </c>
      <c r="C53" s="1" t="s">
        <v>110</v>
      </c>
      <c r="F53" s="1" t="s">
        <v>111</v>
      </c>
      <c r="G53" s="1" t="s">
        <v>110</v>
      </c>
    </row>
    <row r="54" customFormat="false" ht="15" hidden="false" customHeight="true" outlineLevel="0" collapsed="false">
      <c r="A54" s="1" t="s">
        <v>184</v>
      </c>
      <c r="B54" s="1" t="s">
        <v>185</v>
      </c>
      <c r="C54" s="1" t="s">
        <v>110</v>
      </c>
      <c r="F54" s="1" t="s">
        <v>111</v>
      </c>
      <c r="G54" s="1" t="s">
        <v>110</v>
      </c>
    </row>
    <row r="55" customFormat="false" ht="15" hidden="false" customHeight="true" outlineLevel="0" collapsed="false">
      <c r="A55" s="1" t="s">
        <v>186</v>
      </c>
      <c r="B55" s="1" t="s">
        <v>187</v>
      </c>
      <c r="C55" s="1" t="s">
        <v>110</v>
      </c>
      <c r="F55" s="1" t="s">
        <v>111</v>
      </c>
      <c r="G55" s="1" t="s">
        <v>112</v>
      </c>
    </row>
    <row r="56" customFormat="false" ht="15" hidden="false" customHeight="true" outlineLevel="0" collapsed="false">
      <c r="A56" s="1" t="s">
        <v>188</v>
      </c>
      <c r="B56" s="1" t="s">
        <v>189</v>
      </c>
      <c r="C56" s="1" t="s">
        <v>110</v>
      </c>
      <c r="F56" s="1" t="s">
        <v>111</v>
      </c>
      <c r="G56" s="1" t="s">
        <v>112</v>
      </c>
    </row>
    <row r="57" customFormat="false" ht="15" hidden="false" customHeight="true" outlineLevel="0" collapsed="false">
      <c r="A57" s="1" t="s">
        <v>190</v>
      </c>
      <c r="B57" s="1" t="s">
        <v>191</v>
      </c>
      <c r="C57" s="1" t="s">
        <v>110</v>
      </c>
      <c r="F57" s="1" t="s">
        <v>111</v>
      </c>
      <c r="G57" s="1" t="s">
        <v>150</v>
      </c>
    </row>
    <row r="58" customFormat="false" ht="15" hidden="false" customHeight="true" outlineLevel="0" collapsed="false">
      <c r="A58" s="1" t="s">
        <v>192</v>
      </c>
      <c r="B58" s="1" t="s">
        <v>193</v>
      </c>
      <c r="C58" s="1" t="s">
        <v>110</v>
      </c>
      <c r="F58" s="1" t="s">
        <v>111</v>
      </c>
      <c r="G58" s="1" t="s">
        <v>194</v>
      </c>
    </row>
    <row r="59" customFormat="false" ht="15" hidden="false" customHeight="true" outlineLevel="0" collapsed="false">
      <c r="A59" s="1" t="s">
        <v>195</v>
      </c>
      <c r="B59" s="1" t="s">
        <v>196</v>
      </c>
      <c r="C59" s="1" t="s">
        <v>110</v>
      </c>
      <c r="F59" s="1" t="s">
        <v>111</v>
      </c>
      <c r="G59" s="1" t="s">
        <v>112</v>
      </c>
    </row>
    <row r="60" customFormat="false" ht="15" hidden="false" customHeight="true" outlineLevel="0" collapsed="false">
      <c r="A60" s="1" t="s">
        <v>197</v>
      </c>
      <c r="B60" s="1" t="s">
        <v>198</v>
      </c>
      <c r="C60" s="1" t="s">
        <v>110</v>
      </c>
      <c r="F60" s="1" t="s">
        <v>111</v>
      </c>
      <c r="G60" s="1" t="s">
        <v>181</v>
      </c>
    </row>
    <row r="61" customFormat="false" ht="15" hidden="false" customHeight="true" outlineLevel="0" collapsed="false">
      <c r="A61" s="1" t="s">
        <v>199</v>
      </c>
      <c r="B61" s="1" t="s">
        <v>200</v>
      </c>
      <c r="C61" s="1" t="s">
        <v>110</v>
      </c>
      <c r="F61" s="1" t="s">
        <v>111</v>
      </c>
      <c r="G61" s="1" t="s">
        <v>181</v>
      </c>
    </row>
    <row r="62" customFormat="false" ht="15" hidden="false" customHeight="true" outlineLevel="0" collapsed="false">
      <c r="A62" s="1" t="s">
        <v>201</v>
      </c>
      <c r="B62" s="1" t="s">
        <v>202</v>
      </c>
      <c r="C62" s="1" t="s">
        <v>119</v>
      </c>
      <c r="F62" s="1" t="s">
        <v>111</v>
      </c>
      <c r="G62" s="1" t="s">
        <v>119</v>
      </c>
    </row>
    <row r="63" customFormat="false" ht="15" hidden="false" customHeight="true" outlineLevel="0" collapsed="false">
      <c r="A63" s="1" t="s">
        <v>203</v>
      </c>
      <c r="B63" s="1" t="s">
        <v>204</v>
      </c>
      <c r="C63" s="1" t="s">
        <v>119</v>
      </c>
      <c r="F63" s="1" t="s">
        <v>111</v>
      </c>
      <c r="G63" s="1" t="s">
        <v>119</v>
      </c>
    </row>
    <row r="64" customFormat="false" ht="15" hidden="false" customHeight="true" outlineLevel="0" collapsed="false">
      <c r="A64" s="1" t="s">
        <v>205</v>
      </c>
      <c r="B64" s="1" t="s">
        <v>206</v>
      </c>
      <c r="C64" s="1" t="s">
        <v>119</v>
      </c>
      <c r="F64" s="1" t="s">
        <v>111</v>
      </c>
      <c r="G64" s="1" t="s">
        <v>161</v>
      </c>
    </row>
    <row r="65" customFormat="false" ht="15" hidden="false" customHeight="true" outlineLevel="0" collapsed="false">
      <c r="A65" s="1" t="s">
        <v>207</v>
      </c>
      <c r="B65" s="1" t="s">
        <v>208</v>
      </c>
      <c r="C65" s="1" t="s">
        <v>119</v>
      </c>
      <c r="F65" s="1" t="s">
        <v>111</v>
      </c>
      <c r="G65" s="1" t="s">
        <v>145</v>
      </c>
    </row>
    <row r="66" customFormat="false" ht="15" hidden="false" customHeight="true" outlineLevel="0" collapsed="false">
      <c r="A66" s="1" t="s">
        <v>209</v>
      </c>
      <c r="B66" s="1" t="s">
        <v>210</v>
      </c>
      <c r="C66" s="1" t="s">
        <v>119</v>
      </c>
      <c r="F66" s="1" t="s">
        <v>111</v>
      </c>
      <c r="G66" s="1" t="s">
        <v>145</v>
      </c>
    </row>
    <row r="67" customFormat="false" ht="15" hidden="false" customHeight="true" outlineLevel="0" collapsed="false">
      <c r="A67" s="1" t="s">
        <v>211</v>
      </c>
      <c r="B67" s="1" t="s">
        <v>212</v>
      </c>
      <c r="C67" s="1" t="s">
        <v>119</v>
      </c>
      <c r="F67" s="1" t="s">
        <v>111</v>
      </c>
      <c r="G67" s="1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213</v>
      </c>
      <c r="B1" s="0" t="s">
        <v>214</v>
      </c>
      <c r="C1" s="0" t="s">
        <v>215</v>
      </c>
      <c r="D1" s="0" t="s">
        <v>105</v>
      </c>
      <c r="E1" s="0" t="s">
        <v>103</v>
      </c>
      <c r="F1" s="0" t="s">
        <v>104</v>
      </c>
      <c r="G1" s="0" t="s">
        <v>3</v>
      </c>
      <c r="H1" s="0" t="s">
        <v>106</v>
      </c>
      <c r="I1" s="0" t="s">
        <v>216</v>
      </c>
    </row>
    <row r="2" customFormat="false" ht="15" hidden="false" customHeight="false" outlineLevel="0" collapsed="false">
      <c r="A2" s="0" t="n">
        <v>1</v>
      </c>
      <c r="B2" s="0" t="n">
        <v>7</v>
      </c>
      <c r="C2" s="0" t="s">
        <v>19</v>
      </c>
      <c r="D2" s="0" t="s">
        <v>15</v>
      </c>
      <c r="E2" s="0" t="s">
        <v>16</v>
      </c>
      <c r="F2" s="0" t="s">
        <v>117</v>
      </c>
      <c r="G2" s="0" t="s">
        <v>110</v>
      </c>
      <c r="H2" s="0" t="n">
        <v>250</v>
      </c>
      <c r="I2" s="0" t="s">
        <v>217</v>
      </c>
    </row>
    <row r="3" customFormat="false" ht="15" hidden="false" customHeight="false" outlineLevel="0" collapsed="false">
      <c r="A3" s="0" t="n">
        <v>2</v>
      </c>
      <c r="B3" s="0" t="n">
        <v>6</v>
      </c>
      <c r="C3" s="0" t="s">
        <v>17</v>
      </c>
      <c r="D3" s="0" t="s">
        <v>15</v>
      </c>
      <c r="E3" s="0" t="s">
        <v>16</v>
      </c>
      <c r="F3" s="0" t="s">
        <v>117</v>
      </c>
      <c r="G3" s="0" t="s">
        <v>110</v>
      </c>
      <c r="H3" s="0" t="n">
        <v>250</v>
      </c>
      <c r="I3" s="0" t="s">
        <v>217</v>
      </c>
    </row>
    <row r="4" customFormat="false" ht="15" hidden="false" customHeight="false" outlineLevel="0" collapsed="false">
      <c r="A4" s="0" t="n">
        <v>3</v>
      </c>
      <c r="B4" s="0" t="n">
        <v>4</v>
      </c>
      <c r="C4" s="0" t="s">
        <v>13</v>
      </c>
      <c r="D4" s="0" t="s">
        <v>15</v>
      </c>
      <c r="E4" s="0" t="s">
        <v>16</v>
      </c>
      <c r="F4" s="0" t="s">
        <v>117</v>
      </c>
      <c r="G4" s="0" t="s">
        <v>110</v>
      </c>
      <c r="H4" s="0" t="n">
        <v>250</v>
      </c>
      <c r="I4" s="0" t="s">
        <v>217</v>
      </c>
    </row>
    <row r="5" customFormat="false" ht="15" hidden="false" customHeight="false" outlineLevel="0" collapsed="false">
      <c r="A5" s="0" t="n">
        <v>4</v>
      </c>
      <c r="B5" s="0" t="n">
        <v>3</v>
      </c>
      <c r="C5" s="0" t="s">
        <v>11</v>
      </c>
      <c r="D5" s="0" t="s">
        <v>15</v>
      </c>
      <c r="E5" s="0" t="s">
        <v>16</v>
      </c>
      <c r="F5" s="0" t="s">
        <v>117</v>
      </c>
      <c r="G5" s="0" t="s">
        <v>110</v>
      </c>
      <c r="H5" s="0" t="n">
        <v>250</v>
      </c>
      <c r="I5" s="0" t="s">
        <v>217</v>
      </c>
    </row>
    <row r="6" customFormat="false" ht="15" hidden="false" customHeight="false" outlineLevel="0" collapsed="false">
      <c r="A6" s="0" t="n">
        <v>5</v>
      </c>
      <c r="B6" s="0" t="n">
        <v>1</v>
      </c>
      <c r="C6" s="0" t="s">
        <v>7</v>
      </c>
      <c r="D6" s="0" t="s">
        <v>15</v>
      </c>
      <c r="E6" s="0" t="s">
        <v>16</v>
      </c>
      <c r="F6" s="0" t="s">
        <v>117</v>
      </c>
      <c r="G6" s="0" t="s">
        <v>110</v>
      </c>
      <c r="H6" s="0" t="n">
        <v>250</v>
      </c>
      <c r="I6" s="0" t="s">
        <v>217</v>
      </c>
    </row>
    <row r="7" customFormat="false" ht="15" hidden="false" customHeight="false" outlineLevel="0" collapsed="false">
      <c r="A7" s="0" t="n">
        <v>6</v>
      </c>
      <c r="B7" s="0" t="n">
        <v>2</v>
      </c>
      <c r="C7" s="0" t="s">
        <v>9</v>
      </c>
      <c r="D7" s="0" t="s">
        <v>15</v>
      </c>
      <c r="E7" s="0" t="s">
        <v>16</v>
      </c>
      <c r="F7" s="0" t="s">
        <v>117</v>
      </c>
      <c r="G7" s="0" t="s">
        <v>110</v>
      </c>
      <c r="H7" s="0" t="n">
        <v>250</v>
      </c>
      <c r="I7" s="0" t="s">
        <v>217</v>
      </c>
    </row>
    <row r="8" customFormat="false" ht="15" hidden="false" customHeight="false" outlineLevel="0" collapsed="false">
      <c r="A8" s="0" t="n">
        <v>7</v>
      </c>
      <c r="B8" s="0" t="n">
        <v>9</v>
      </c>
      <c r="C8" s="0" t="s">
        <v>23</v>
      </c>
      <c r="D8" s="0" t="s">
        <v>15</v>
      </c>
      <c r="E8" s="0" t="s">
        <v>16</v>
      </c>
      <c r="F8" s="0" t="s">
        <v>117</v>
      </c>
      <c r="G8" s="0" t="s">
        <v>110</v>
      </c>
      <c r="H8" s="0" t="n">
        <v>250</v>
      </c>
      <c r="I8" s="0" t="s">
        <v>217</v>
      </c>
    </row>
    <row r="9" customFormat="false" ht="15" hidden="false" customHeight="false" outlineLevel="0" collapsed="false">
      <c r="A9" s="0" t="n">
        <v>8</v>
      </c>
      <c r="B9" s="0" t="n">
        <v>11</v>
      </c>
      <c r="C9" s="0" t="s">
        <v>27</v>
      </c>
      <c r="D9" s="0" t="s">
        <v>15</v>
      </c>
      <c r="E9" s="0" t="s">
        <v>16</v>
      </c>
      <c r="F9" s="0" t="s">
        <v>117</v>
      </c>
      <c r="G9" s="0" t="s">
        <v>110</v>
      </c>
      <c r="H9" s="0" t="n">
        <v>250</v>
      </c>
      <c r="I9" s="0" t="s">
        <v>217</v>
      </c>
    </row>
    <row r="10" customFormat="false" ht="15" hidden="false" customHeight="false" outlineLevel="0" collapsed="false">
      <c r="A10" s="0" t="n">
        <v>9</v>
      </c>
      <c r="B10" s="0" t="n">
        <v>12</v>
      </c>
      <c r="C10" s="0" t="s">
        <v>29</v>
      </c>
      <c r="D10" s="0" t="s">
        <v>15</v>
      </c>
      <c r="E10" s="0" t="s">
        <v>16</v>
      </c>
      <c r="F10" s="0" t="s">
        <v>117</v>
      </c>
      <c r="G10" s="0" t="s">
        <v>110</v>
      </c>
      <c r="H10" s="0" t="n">
        <v>250</v>
      </c>
      <c r="I10" s="0" t="s">
        <v>217</v>
      </c>
    </row>
    <row r="11" customFormat="false" ht="15" hidden="false" customHeight="false" outlineLevel="0" collapsed="false">
      <c r="A11" s="0" t="n">
        <v>10</v>
      </c>
      <c r="B11" s="0" t="n">
        <v>13</v>
      </c>
      <c r="C11" s="0" t="s">
        <v>31</v>
      </c>
      <c r="D11" s="0" t="s">
        <v>15</v>
      </c>
      <c r="E11" s="0" t="s">
        <v>16</v>
      </c>
      <c r="F11" s="0" t="s">
        <v>117</v>
      </c>
      <c r="G11" s="0" t="s">
        <v>110</v>
      </c>
      <c r="H11" s="0" t="n">
        <v>250</v>
      </c>
      <c r="I11" s="0" t="s">
        <v>217</v>
      </c>
    </row>
    <row r="12" customFormat="false" ht="15" hidden="false" customHeight="false" outlineLevel="0" collapsed="false">
      <c r="A12" s="0" t="n">
        <v>11</v>
      </c>
      <c r="B12" s="0" t="n">
        <v>14</v>
      </c>
      <c r="C12" s="0" t="s">
        <v>33</v>
      </c>
      <c r="D12" s="0" t="s">
        <v>15</v>
      </c>
      <c r="E12" s="0" t="s">
        <v>16</v>
      </c>
      <c r="F12" s="0" t="s">
        <v>117</v>
      </c>
      <c r="G12" s="0" t="s">
        <v>110</v>
      </c>
      <c r="H12" s="0" t="n">
        <v>250</v>
      </c>
      <c r="I12" s="0" t="s">
        <v>217</v>
      </c>
    </row>
    <row r="13" customFormat="false" ht="15" hidden="false" customHeight="false" outlineLevel="0" collapsed="false">
      <c r="A13" s="0" t="n">
        <v>12</v>
      </c>
      <c r="B13" s="0" t="n">
        <v>15</v>
      </c>
      <c r="C13" s="0" t="s">
        <v>35</v>
      </c>
      <c r="D13" s="0" t="s">
        <v>15</v>
      </c>
      <c r="E13" s="0" t="s">
        <v>16</v>
      </c>
      <c r="F13" s="0" t="s">
        <v>117</v>
      </c>
      <c r="G13" s="0" t="s">
        <v>110</v>
      </c>
      <c r="H13" s="0" t="n">
        <v>250</v>
      </c>
      <c r="I13" s="0" t="s">
        <v>217</v>
      </c>
    </row>
    <row r="14" customFormat="false" ht="15" hidden="false" customHeight="false" outlineLevel="0" collapsed="false">
      <c r="A14" s="0" t="n">
        <v>13</v>
      </c>
      <c r="B14" s="0" t="n">
        <v>16</v>
      </c>
      <c r="C14" s="0" t="s">
        <v>37</v>
      </c>
      <c r="D14" s="0" t="s">
        <v>15</v>
      </c>
      <c r="E14" s="0" t="s">
        <v>16</v>
      </c>
      <c r="F14" s="0" t="s">
        <v>117</v>
      </c>
      <c r="G14" s="0" t="s">
        <v>110</v>
      </c>
      <c r="H14" s="0" t="n">
        <v>250</v>
      </c>
      <c r="I14" s="0" t="s">
        <v>217</v>
      </c>
    </row>
    <row r="15" customFormat="false" ht="15" hidden="false" customHeight="false" outlineLevel="0" collapsed="false">
      <c r="A15" s="0" t="n">
        <v>14</v>
      </c>
      <c r="B15" s="0" t="n">
        <v>17</v>
      </c>
      <c r="C15" s="0" t="s">
        <v>39</v>
      </c>
      <c r="D15" s="0" t="s">
        <v>15</v>
      </c>
      <c r="E15" s="0" t="s">
        <v>16</v>
      </c>
      <c r="F15" s="0" t="s">
        <v>117</v>
      </c>
      <c r="G15" s="0" t="s">
        <v>110</v>
      </c>
      <c r="H15" s="0" t="n">
        <v>250</v>
      </c>
      <c r="I15" s="0" t="s">
        <v>217</v>
      </c>
    </row>
    <row r="16" customFormat="false" ht="15" hidden="false" customHeight="false" outlineLevel="0" collapsed="false">
      <c r="A16" s="0" t="n">
        <v>15</v>
      </c>
      <c r="B16" s="0" t="n">
        <v>18</v>
      </c>
      <c r="C16" s="0" t="s">
        <v>41</v>
      </c>
      <c r="D16" s="0" t="s">
        <v>15</v>
      </c>
      <c r="E16" s="0" t="s">
        <v>16</v>
      </c>
      <c r="F16" s="0" t="s">
        <v>117</v>
      </c>
      <c r="G16" s="0" t="s">
        <v>110</v>
      </c>
      <c r="H16" s="0" t="n">
        <v>250</v>
      </c>
      <c r="I16" s="0" t="s">
        <v>217</v>
      </c>
    </row>
    <row r="17" customFormat="false" ht="15" hidden="false" customHeight="false" outlineLevel="0" collapsed="false">
      <c r="A17" s="0" t="n">
        <v>16</v>
      </c>
      <c r="B17" s="0" t="n">
        <v>19</v>
      </c>
      <c r="C17" s="0" t="s">
        <v>43</v>
      </c>
      <c r="D17" s="0" t="s">
        <v>15</v>
      </c>
      <c r="E17" s="0" t="s">
        <v>16</v>
      </c>
      <c r="F17" s="0" t="s">
        <v>117</v>
      </c>
      <c r="G17" s="0" t="s">
        <v>110</v>
      </c>
      <c r="H17" s="0" t="n">
        <v>250</v>
      </c>
      <c r="I17" s="0" t="s">
        <v>217</v>
      </c>
    </row>
    <row r="18" customFormat="false" ht="15" hidden="false" customHeight="false" outlineLevel="0" collapsed="false">
      <c r="A18" s="0" t="n">
        <v>17</v>
      </c>
      <c r="B18" s="0" t="n">
        <v>20</v>
      </c>
      <c r="C18" s="0" t="s">
        <v>45</v>
      </c>
      <c r="D18" s="0" t="s">
        <v>15</v>
      </c>
      <c r="E18" s="0" t="s">
        <v>16</v>
      </c>
      <c r="F18" s="0" t="s">
        <v>117</v>
      </c>
      <c r="G18" s="0" t="s">
        <v>110</v>
      </c>
      <c r="H18" s="0" t="n">
        <v>250</v>
      </c>
      <c r="I18" s="0" t="s">
        <v>217</v>
      </c>
    </row>
    <row r="19" customFormat="false" ht="15" hidden="false" customHeight="false" outlineLevel="0" collapsed="false">
      <c r="A19" s="0" t="n">
        <v>18</v>
      </c>
      <c r="B19" s="0" t="n">
        <v>21</v>
      </c>
      <c r="C19" s="0" t="s">
        <v>47</v>
      </c>
      <c r="D19" s="0" t="s">
        <v>15</v>
      </c>
      <c r="E19" s="0" t="s">
        <v>16</v>
      </c>
      <c r="F19" s="0" t="s">
        <v>117</v>
      </c>
      <c r="G19" s="0" t="s">
        <v>110</v>
      </c>
      <c r="H19" s="0" t="n">
        <v>250</v>
      </c>
      <c r="I19" s="0" t="s">
        <v>217</v>
      </c>
    </row>
    <row r="20" customFormat="false" ht="15" hidden="false" customHeight="false" outlineLevel="0" collapsed="false">
      <c r="A20" s="0" t="n">
        <v>19</v>
      </c>
      <c r="B20" s="0" t="n">
        <v>22</v>
      </c>
      <c r="C20" s="0" t="s">
        <v>49</v>
      </c>
      <c r="D20" s="0" t="s">
        <v>15</v>
      </c>
      <c r="E20" s="0" t="s">
        <v>16</v>
      </c>
      <c r="F20" s="0" t="s">
        <v>117</v>
      </c>
      <c r="G20" s="0" t="s">
        <v>110</v>
      </c>
      <c r="H20" s="0" t="n">
        <v>250</v>
      </c>
      <c r="I20" s="0" t="s">
        <v>217</v>
      </c>
    </row>
    <row r="21" customFormat="false" ht="15" hidden="false" customHeight="false" outlineLevel="0" collapsed="false">
      <c r="A21" s="0" t="n">
        <v>20</v>
      </c>
      <c r="B21" s="0" t="n">
        <v>23</v>
      </c>
      <c r="C21" s="0" t="s">
        <v>51</v>
      </c>
      <c r="D21" s="0" t="s">
        <v>15</v>
      </c>
      <c r="E21" s="0" t="s">
        <v>16</v>
      </c>
      <c r="F21" s="0" t="s">
        <v>117</v>
      </c>
      <c r="G21" s="0" t="s">
        <v>110</v>
      </c>
      <c r="H21" s="0" t="n">
        <v>250</v>
      </c>
      <c r="I21" s="0" t="s">
        <v>217</v>
      </c>
    </row>
    <row r="22" customFormat="false" ht="15" hidden="false" customHeight="false" outlineLevel="0" collapsed="false">
      <c r="A22" s="0" t="n">
        <v>21</v>
      </c>
      <c r="B22" s="0" t="n">
        <v>24</v>
      </c>
      <c r="C22" s="0" t="s">
        <v>53</v>
      </c>
      <c r="D22" s="0" t="s">
        <v>15</v>
      </c>
      <c r="E22" s="0" t="s">
        <v>16</v>
      </c>
      <c r="F22" s="0" t="s">
        <v>117</v>
      </c>
      <c r="G22" s="0" t="s">
        <v>110</v>
      </c>
      <c r="H22" s="0" t="n">
        <v>250</v>
      </c>
      <c r="I22" s="0" t="s">
        <v>217</v>
      </c>
    </row>
    <row r="23" customFormat="false" ht="15" hidden="false" customHeight="false" outlineLevel="0" collapsed="false">
      <c r="A23" s="0" t="n">
        <v>22</v>
      </c>
      <c r="B23" s="0" t="n">
        <v>25</v>
      </c>
      <c r="C23" s="0" t="s">
        <v>55</v>
      </c>
      <c r="D23" s="0" t="s">
        <v>15</v>
      </c>
      <c r="E23" s="0" t="s">
        <v>16</v>
      </c>
      <c r="F23" s="0" t="s">
        <v>117</v>
      </c>
      <c r="G23" s="0" t="s">
        <v>110</v>
      </c>
      <c r="H23" s="0" t="n">
        <v>250</v>
      </c>
      <c r="I23" s="0" t="s">
        <v>217</v>
      </c>
    </row>
    <row r="24" customFormat="false" ht="15" hidden="false" customHeight="false" outlineLevel="0" collapsed="false">
      <c r="A24" s="0" t="n">
        <v>23</v>
      </c>
      <c r="B24" s="0" t="n">
        <v>26</v>
      </c>
      <c r="C24" s="0" t="s">
        <v>57</v>
      </c>
      <c r="D24" s="0" t="s">
        <v>15</v>
      </c>
      <c r="E24" s="0" t="s">
        <v>16</v>
      </c>
      <c r="F24" s="0" t="s">
        <v>117</v>
      </c>
      <c r="G24" s="0" t="s">
        <v>110</v>
      </c>
      <c r="H24" s="0" t="n">
        <v>250</v>
      </c>
      <c r="I24" s="0" t="s">
        <v>217</v>
      </c>
    </row>
    <row r="25" customFormat="false" ht="15" hidden="false" customHeight="false" outlineLevel="0" collapsed="false">
      <c r="A25" s="0" t="n">
        <v>24</v>
      </c>
      <c r="B25" s="0" t="n">
        <v>27</v>
      </c>
      <c r="C25" s="0" t="s">
        <v>59</v>
      </c>
      <c r="D25" s="0" t="s">
        <v>15</v>
      </c>
      <c r="E25" s="0" t="s">
        <v>16</v>
      </c>
      <c r="F25" s="0" t="s">
        <v>117</v>
      </c>
      <c r="G25" s="0" t="s">
        <v>110</v>
      </c>
      <c r="H25" s="0" t="n">
        <v>250</v>
      </c>
      <c r="I25" s="0" t="s">
        <v>217</v>
      </c>
    </row>
    <row r="26" customFormat="false" ht="15" hidden="false" customHeight="false" outlineLevel="0" collapsed="false">
      <c r="A26" s="0" t="n">
        <v>25</v>
      </c>
      <c r="B26" s="0" t="n">
        <v>28</v>
      </c>
      <c r="C26" s="0" t="s">
        <v>61</v>
      </c>
      <c r="D26" s="0" t="s">
        <v>15</v>
      </c>
      <c r="E26" s="0" t="s">
        <v>16</v>
      </c>
      <c r="F26" s="0" t="s">
        <v>117</v>
      </c>
      <c r="G26" s="0" t="s">
        <v>110</v>
      </c>
      <c r="H26" s="0" t="n">
        <v>250</v>
      </c>
      <c r="I26" s="0" t="s">
        <v>217</v>
      </c>
    </row>
    <row r="27" customFormat="false" ht="15" hidden="false" customHeight="false" outlineLevel="0" collapsed="false">
      <c r="A27" s="0" t="n">
        <v>26</v>
      </c>
      <c r="B27" s="0" t="n">
        <v>29</v>
      </c>
      <c r="C27" s="0" t="s">
        <v>63</v>
      </c>
      <c r="D27" s="0" t="s">
        <v>15</v>
      </c>
      <c r="E27" s="0" t="s">
        <v>16</v>
      </c>
      <c r="F27" s="0" t="s">
        <v>117</v>
      </c>
      <c r="G27" s="0" t="s">
        <v>110</v>
      </c>
      <c r="H27" s="0" t="n">
        <v>250</v>
      </c>
      <c r="I27" s="0" t="s">
        <v>217</v>
      </c>
    </row>
    <row r="28" customFormat="false" ht="15" hidden="false" customHeight="false" outlineLevel="0" collapsed="false">
      <c r="A28" s="0" t="n">
        <v>27</v>
      </c>
      <c r="B28" s="0" t="n">
        <v>30</v>
      </c>
      <c r="C28" s="0" t="s">
        <v>65</v>
      </c>
      <c r="D28" s="0" t="s">
        <v>15</v>
      </c>
      <c r="E28" s="0" t="s">
        <v>16</v>
      </c>
      <c r="F28" s="0" t="s">
        <v>117</v>
      </c>
      <c r="G28" s="0" t="s">
        <v>110</v>
      </c>
      <c r="H28" s="0" t="n">
        <v>250</v>
      </c>
      <c r="I28" s="0" t="s">
        <v>217</v>
      </c>
    </row>
    <row r="29" customFormat="false" ht="15" hidden="false" customHeight="false" outlineLevel="0" collapsed="false">
      <c r="A29" s="0" t="n">
        <v>28</v>
      </c>
      <c r="B29" s="0" t="n">
        <v>31</v>
      </c>
      <c r="C29" s="0" t="s">
        <v>67</v>
      </c>
      <c r="D29" s="0" t="s">
        <v>15</v>
      </c>
      <c r="E29" s="0" t="s">
        <v>16</v>
      </c>
      <c r="F29" s="0" t="s">
        <v>117</v>
      </c>
      <c r="G29" s="0" t="s">
        <v>110</v>
      </c>
      <c r="H29" s="0" t="n">
        <v>250</v>
      </c>
      <c r="I29" s="0" t="s">
        <v>217</v>
      </c>
    </row>
    <row r="30" customFormat="false" ht="15" hidden="false" customHeight="false" outlineLevel="0" collapsed="false">
      <c r="A30" s="0" t="n">
        <v>29</v>
      </c>
      <c r="B30" s="0" t="n">
        <v>32</v>
      </c>
      <c r="C30" s="0" t="s">
        <v>69</v>
      </c>
      <c r="D30" s="0" t="s">
        <v>15</v>
      </c>
      <c r="E30" s="0" t="s">
        <v>16</v>
      </c>
      <c r="F30" s="0" t="s">
        <v>117</v>
      </c>
      <c r="G30" s="0" t="s">
        <v>110</v>
      </c>
      <c r="H30" s="0" t="n">
        <v>250</v>
      </c>
      <c r="I30" s="0" t="s">
        <v>217</v>
      </c>
    </row>
    <row r="31" customFormat="false" ht="15" hidden="false" customHeight="false" outlineLevel="0" collapsed="false">
      <c r="A31" s="0" t="n">
        <v>30</v>
      </c>
      <c r="B31" s="0" t="n">
        <v>33</v>
      </c>
      <c r="C31" s="0" t="s">
        <v>71</v>
      </c>
      <c r="D31" s="0" t="s">
        <v>15</v>
      </c>
      <c r="E31" s="0" t="s">
        <v>16</v>
      </c>
      <c r="F31" s="0" t="s">
        <v>117</v>
      </c>
      <c r="G31" s="0" t="s">
        <v>110</v>
      </c>
      <c r="H31" s="0" t="n">
        <v>250</v>
      </c>
      <c r="I31" s="0" t="s">
        <v>217</v>
      </c>
    </row>
    <row r="32" customFormat="false" ht="15" hidden="false" customHeight="false" outlineLevel="0" collapsed="false">
      <c r="A32" s="0" t="n">
        <v>31</v>
      </c>
      <c r="B32" s="0" t="n">
        <v>34</v>
      </c>
      <c r="C32" s="0" t="s">
        <v>73</v>
      </c>
      <c r="D32" s="0" t="s">
        <v>15</v>
      </c>
      <c r="E32" s="0" t="s">
        <v>16</v>
      </c>
      <c r="F32" s="0" t="s">
        <v>117</v>
      </c>
      <c r="G32" s="0" t="s">
        <v>110</v>
      </c>
      <c r="H32" s="0" t="n">
        <v>250</v>
      </c>
      <c r="I32" s="0" t="s">
        <v>217</v>
      </c>
    </row>
    <row r="33" customFormat="false" ht="15" hidden="false" customHeight="false" outlineLevel="0" collapsed="false">
      <c r="A33" s="0" t="n">
        <v>32</v>
      </c>
      <c r="B33" s="0" t="n">
        <v>35</v>
      </c>
      <c r="C33" s="0" t="s">
        <v>75</v>
      </c>
      <c r="D33" s="0" t="s">
        <v>15</v>
      </c>
      <c r="E33" s="0" t="s">
        <v>16</v>
      </c>
      <c r="F33" s="0" t="s">
        <v>117</v>
      </c>
      <c r="G33" s="0" t="s">
        <v>110</v>
      </c>
      <c r="H33" s="0" t="n">
        <v>250</v>
      </c>
      <c r="I33" s="0" t="s">
        <v>217</v>
      </c>
    </row>
    <row r="34" customFormat="false" ht="15" hidden="false" customHeight="false" outlineLevel="0" collapsed="false">
      <c r="A34" s="0" t="n">
        <v>33</v>
      </c>
      <c r="B34" s="0" t="n">
        <v>36</v>
      </c>
      <c r="C34" s="0" t="s">
        <v>77</v>
      </c>
      <c r="D34" s="0" t="s">
        <v>15</v>
      </c>
      <c r="E34" s="0" t="s">
        <v>16</v>
      </c>
      <c r="F34" s="0" t="s">
        <v>117</v>
      </c>
      <c r="G34" s="0" t="s">
        <v>110</v>
      </c>
      <c r="H34" s="0" t="n">
        <v>250</v>
      </c>
      <c r="I34" s="0" t="s">
        <v>217</v>
      </c>
    </row>
    <row r="35" customFormat="false" ht="15" hidden="false" customHeight="false" outlineLevel="0" collapsed="false">
      <c r="A35" s="0" t="n">
        <v>34</v>
      </c>
      <c r="B35" s="0" t="n">
        <v>37</v>
      </c>
      <c r="C35" s="0" t="s">
        <v>79</v>
      </c>
      <c r="D35" s="0" t="s">
        <v>15</v>
      </c>
      <c r="E35" s="0" t="s">
        <v>16</v>
      </c>
      <c r="F35" s="0" t="s">
        <v>117</v>
      </c>
      <c r="G35" s="0" t="s">
        <v>110</v>
      </c>
      <c r="H35" s="0" t="n">
        <v>250</v>
      </c>
      <c r="I35" s="0" t="s">
        <v>217</v>
      </c>
    </row>
    <row r="36" customFormat="false" ht="15" hidden="false" customHeight="false" outlineLevel="0" collapsed="false">
      <c r="A36" s="0" t="n">
        <v>35</v>
      </c>
      <c r="B36" s="0" t="n">
        <v>38</v>
      </c>
      <c r="C36" s="0" t="s">
        <v>81</v>
      </c>
      <c r="D36" s="0" t="s">
        <v>15</v>
      </c>
      <c r="E36" s="0" t="s">
        <v>16</v>
      </c>
      <c r="F36" s="0" t="s">
        <v>117</v>
      </c>
      <c r="G36" s="0" t="s">
        <v>110</v>
      </c>
      <c r="H36" s="0" t="n">
        <v>250</v>
      </c>
      <c r="I36" s="0" t="s">
        <v>217</v>
      </c>
    </row>
    <row r="37" customFormat="false" ht="15" hidden="false" customHeight="false" outlineLevel="0" collapsed="false">
      <c r="A37" s="0" t="n">
        <v>36</v>
      </c>
      <c r="B37" s="0" t="n">
        <v>39</v>
      </c>
      <c r="C37" s="0" t="s">
        <v>83</v>
      </c>
      <c r="D37" s="0" t="s">
        <v>15</v>
      </c>
      <c r="E37" s="0" t="s">
        <v>16</v>
      </c>
      <c r="F37" s="0" t="s">
        <v>117</v>
      </c>
      <c r="G37" s="0" t="s">
        <v>110</v>
      </c>
      <c r="H37" s="0" t="n">
        <v>250</v>
      </c>
      <c r="I37" s="0" t="s">
        <v>217</v>
      </c>
    </row>
    <row r="38" customFormat="false" ht="15" hidden="false" customHeight="false" outlineLevel="0" collapsed="false">
      <c r="A38" s="0" t="n">
        <v>37</v>
      </c>
      <c r="B38" s="0" t="n">
        <v>40</v>
      </c>
      <c r="C38" s="0" t="s">
        <v>85</v>
      </c>
      <c r="D38" s="0" t="s">
        <v>15</v>
      </c>
      <c r="E38" s="0" t="s">
        <v>16</v>
      </c>
      <c r="F38" s="0" t="s">
        <v>117</v>
      </c>
      <c r="G38" s="0" t="s">
        <v>110</v>
      </c>
      <c r="H38" s="0" t="n">
        <v>250</v>
      </c>
      <c r="I38" s="0" t="s">
        <v>217</v>
      </c>
    </row>
    <row r="39" customFormat="false" ht="15" hidden="false" customHeight="false" outlineLevel="0" collapsed="false">
      <c r="A39" s="0" t="n">
        <v>38</v>
      </c>
      <c r="B39" s="0" t="n">
        <v>41</v>
      </c>
      <c r="C39" s="0" t="s">
        <v>87</v>
      </c>
      <c r="D39" s="0" t="s">
        <v>15</v>
      </c>
      <c r="E39" s="0" t="s">
        <v>16</v>
      </c>
      <c r="F39" s="0" t="s">
        <v>117</v>
      </c>
      <c r="G39" s="0" t="s">
        <v>110</v>
      </c>
      <c r="H39" s="0" t="n">
        <v>250</v>
      </c>
      <c r="I39" s="0" t="s">
        <v>217</v>
      </c>
    </row>
    <row r="40" customFormat="false" ht="15" hidden="false" customHeight="false" outlineLevel="0" collapsed="false">
      <c r="A40" s="0" t="n">
        <v>39</v>
      </c>
      <c r="B40" s="0" t="n">
        <v>42</v>
      </c>
      <c r="C40" s="0" t="s">
        <v>89</v>
      </c>
      <c r="D40" s="0" t="s">
        <v>15</v>
      </c>
      <c r="E40" s="0" t="s">
        <v>16</v>
      </c>
      <c r="F40" s="0" t="s">
        <v>117</v>
      </c>
      <c r="G40" s="0" t="s">
        <v>110</v>
      </c>
      <c r="H40" s="0" t="n">
        <v>250</v>
      </c>
      <c r="I40" s="0" t="s">
        <v>217</v>
      </c>
    </row>
    <row r="41" customFormat="false" ht="15" hidden="false" customHeight="false" outlineLevel="0" collapsed="false">
      <c r="A41" s="0" t="n">
        <v>40</v>
      </c>
      <c r="B41" s="0" t="n">
        <v>43</v>
      </c>
      <c r="C41" s="0" t="s">
        <v>91</v>
      </c>
      <c r="D41" s="0" t="s">
        <v>15</v>
      </c>
      <c r="E41" s="0" t="s">
        <v>16</v>
      </c>
      <c r="F41" s="0" t="s">
        <v>117</v>
      </c>
      <c r="G41" s="0" t="s">
        <v>110</v>
      </c>
      <c r="H41" s="0" t="n">
        <v>250</v>
      </c>
      <c r="I41" s="0" t="s">
        <v>217</v>
      </c>
    </row>
    <row r="42" customFormat="false" ht="15" hidden="false" customHeight="false" outlineLevel="0" collapsed="false">
      <c r="A42" s="0" t="n">
        <v>41</v>
      </c>
      <c r="B42" s="0" t="n">
        <v>44</v>
      </c>
      <c r="C42" s="0" t="s">
        <v>93</v>
      </c>
      <c r="D42" s="0" t="s">
        <v>15</v>
      </c>
      <c r="E42" s="0" t="s">
        <v>16</v>
      </c>
      <c r="F42" s="0" t="s">
        <v>117</v>
      </c>
      <c r="G42" s="0" t="s">
        <v>110</v>
      </c>
      <c r="H42" s="0" t="n">
        <v>250</v>
      </c>
      <c r="I42" s="0" t="s">
        <v>217</v>
      </c>
    </row>
    <row r="43" customFormat="false" ht="15" hidden="false" customHeight="false" outlineLevel="0" collapsed="false">
      <c r="A43" s="0" t="n">
        <v>42</v>
      </c>
      <c r="B43" s="0" t="n">
        <v>45</v>
      </c>
      <c r="C43" s="0" t="s">
        <v>95</v>
      </c>
      <c r="D43" s="0" t="s">
        <v>15</v>
      </c>
      <c r="E43" s="0" t="s">
        <v>16</v>
      </c>
      <c r="F43" s="0" t="s">
        <v>117</v>
      </c>
      <c r="G43" s="0" t="s">
        <v>110</v>
      </c>
      <c r="H43" s="0" t="n">
        <v>250</v>
      </c>
      <c r="I43" s="0" t="s">
        <v>217</v>
      </c>
    </row>
    <row r="44" customFormat="false" ht="15" hidden="false" customHeight="false" outlineLevel="0" collapsed="false">
      <c r="A44" s="0" t="n">
        <v>43</v>
      </c>
      <c r="B44" s="0" t="n">
        <v>10</v>
      </c>
      <c r="C44" s="0" t="s">
        <v>25</v>
      </c>
      <c r="D44" s="0" t="s">
        <v>15</v>
      </c>
      <c r="E44" s="0" t="s">
        <v>16</v>
      </c>
      <c r="F44" s="0" t="s">
        <v>117</v>
      </c>
      <c r="G44" s="0" t="s">
        <v>110</v>
      </c>
      <c r="H44" s="0" t="n">
        <v>250</v>
      </c>
      <c r="I44" s="0" t="s">
        <v>217</v>
      </c>
    </row>
    <row r="45" customFormat="false" ht="15" hidden="false" customHeight="false" outlineLevel="0" collapsed="false">
      <c r="A45" s="0" t="n">
        <v>44</v>
      </c>
      <c r="B45" s="0" t="n">
        <v>8</v>
      </c>
      <c r="C45" s="0" t="s">
        <v>21</v>
      </c>
      <c r="D45" s="0" t="s">
        <v>15</v>
      </c>
      <c r="E45" s="0" t="s">
        <v>16</v>
      </c>
      <c r="F45" s="0" t="s">
        <v>117</v>
      </c>
      <c r="G45" s="0" t="s">
        <v>110</v>
      </c>
      <c r="H45" s="0" t="n">
        <v>250</v>
      </c>
      <c r="I45" s="0" t="s">
        <v>217</v>
      </c>
    </row>
    <row r="46" customFormat="false" ht="15" hidden="false" customHeight="false" outlineLevel="0" collapsed="false">
      <c r="A46" s="0" t="n">
        <v>45</v>
      </c>
      <c r="B46" s="0" t="n">
        <v>46</v>
      </c>
      <c r="C46" s="0" t="s">
        <v>97</v>
      </c>
      <c r="D46" s="0" t="s">
        <v>15</v>
      </c>
      <c r="E46" s="0" t="s">
        <v>16</v>
      </c>
      <c r="F46" s="0" t="s">
        <v>117</v>
      </c>
      <c r="G46" s="0" t="s">
        <v>110</v>
      </c>
      <c r="H46" s="0" t="n">
        <v>250</v>
      </c>
      <c r="I46" s="0" t="s">
        <v>217</v>
      </c>
    </row>
    <row r="47" customFormat="false" ht="15" hidden="false" customHeight="false" outlineLevel="0" collapsed="false">
      <c r="A47" s="0" t="n">
        <v>46</v>
      </c>
      <c r="B47" s="0" t="n">
        <v>47</v>
      </c>
      <c r="C47" s="0" t="s">
        <v>99</v>
      </c>
      <c r="D47" s="0" t="s">
        <v>15</v>
      </c>
      <c r="E47" s="0" t="s">
        <v>16</v>
      </c>
      <c r="F47" s="0" t="s">
        <v>117</v>
      </c>
      <c r="G47" s="0" t="s">
        <v>110</v>
      </c>
      <c r="H47" s="0" t="n">
        <v>250</v>
      </c>
      <c r="I47" s="0" t="s">
        <v>217</v>
      </c>
    </row>
    <row r="48" customFormat="false" ht="15" hidden="false" customHeight="false" outlineLevel="0" collapsed="false">
      <c r="A48" s="0" t="n">
        <v>47</v>
      </c>
      <c r="B48" s="0" t="n">
        <v>48</v>
      </c>
      <c r="C48" s="0" t="s">
        <v>101</v>
      </c>
      <c r="D48" s="0" t="s">
        <v>15</v>
      </c>
      <c r="E48" s="0" t="s">
        <v>16</v>
      </c>
      <c r="F48" s="0" t="s">
        <v>117</v>
      </c>
      <c r="G48" s="0" t="s">
        <v>110</v>
      </c>
      <c r="H48" s="0" t="n">
        <v>250</v>
      </c>
      <c r="I48" s="0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true" showRowColHeaders="true" showZeros="true" rightToLeft="false" tabSelected="true" showOutlineSymbols="true" defaultGridColor="true" view="normal" topLeftCell="A40" colorId="64" zoomScale="100" zoomScaleNormal="100" zoomScalePageLayoutView="100" workbookViewId="0">
      <selection pane="topLeft" activeCell="G53" activeCellId="0" sqref="G53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218</v>
      </c>
      <c r="E1" s="4" t="s">
        <v>219</v>
      </c>
      <c r="F1" s="4" t="s">
        <v>220</v>
      </c>
      <c r="G1" s="4" t="s">
        <v>119</v>
      </c>
    </row>
    <row r="2" customFormat="false" ht="13.8" hidden="false" customHeight="false" outlineLevel="0" collapsed="false">
      <c r="A2" s="5" t="n">
        <v>1</v>
      </c>
      <c r="B2" s="6" t="s">
        <v>7</v>
      </c>
      <c r="C2" s="5" t="s">
        <v>8</v>
      </c>
      <c r="D2" s="5" t="n">
        <v>28</v>
      </c>
      <c r="E2" s="7" t="n">
        <f aca="false">D2*400*10</f>
        <v>112000</v>
      </c>
      <c r="F2" s="7" t="n">
        <f aca="false">D2*500*0.001*10*140</f>
        <v>19600</v>
      </c>
      <c r="G2" s="7" t="n">
        <f aca="false">D2*10*4.1</f>
        <v>1148</v>
      </c>
    </row>
    <row r="3" customFormat="false" ht="13.8" hidden="false" customHeight="false" outlineLevel="0" collapsed="false">
      <c r="A3" s="5" t="n">
        <v>2</v>
      </c>
      <c r="B3" s="6" t="s">
        <v>9</v>
      </c>
      <c r="C3" s="5" t="s">
        <v>10</v>
      </c>
      <c r="D3" s="5" t="n">
        <v>23</v>
      </c>
      <c r="E3" s="7" t="n">
        <f aca="false">D3*400*10</f>
        <v>92000</v>
      </c>
      <c r="F3" s="7" t="n">
        <f aca="false">D3*500*0.001*10*140</f>
        <v>16100</v>
      </c>
      <c r="G3" s="7" t="n">
        <f aca="false">D3*10*4.1</f>
        <v>943</v>
      </c>
    </row>
    <row r="4" customFormat="false" ht="13.8" hidden="false" customHeight="false" outlineLevel="0" collapsed="false">
      <c r="A4" s="5" t="n">
        <v>3</v>
      </c>
      <c r="B4" s="6" t="s">
        <v>11</v>
      </c>
      <c r="C4" s="5" t="s">
        <v>12</v>
      </c>
      <c r="D4" s="5" t="n">
        <v>60</v>
      </c>
      <c r="E4" s="7" t="n">
        <f aca="false">D4*400*10</f>
        <v>240000</v>
      </c>
      <c r="F4" s="7" t="n">
        <f aca="false">D4*500*0.001*10*140</f>
        <v>42000</v>
      </c>
      <c r="G4" s="7" t="n">
        <f aca="false">D4*10*4.1</f>
        <v>2460</v>
      </c>
    </row>
    <row r="5" customFormat="false" ht="23.85" hidden="false" customHeight="false" outlineLevel="0" collapsed="false">
      <c r="A5" s="5" t="n">
        <v>4</v>
      </c>
      <c r="B5" s="6" t="s">
        <v>13</v>
      </c>
      <c r="C5" s="5" t="s">
        <v>14</v>
      </c>
      <c r="D5" s="5" t="n">
        <v>58</v>
      </c>
      <c r="E5" s="7" t="n">
        <f aca="false">D5*400*10</f>
        <v>232000</v>
      </c>
      <c r="F5" s="7" t="n">
        <f aca="false">D5*500*0.001*10*140</f>
        <v>40600</v>
      </c>
      <c r="G5" s="7" t="n">
        <f aca="false">D5*10*4.1</f>
        <v>2378</v>
      </c>
    </row>
    <row r="6" customFormat="false" ht="23.85" hidden="false" customHeight="false" outlineLevel="0" collapsed="false">
      <c r="A6" s="5" t="n">
        <v>5</v>
      </c>
      <c r="B6" s="6" t="s">
        <v>15</v>
      </c>
      <c r="C6" s="5" t="s">
        <v>16</v>
      </c>
      <c r="D6" s="5" t="n">
        <v>24</v>
      </c>
      <c r="E6" s="7" t="n">
        <f aca="false">D6*400*10</f>
        <v>96000</v>
      </c>
      <c r="F6" s="7" t="n">
        <f aca="false">D6*500*0.001*10*140</f>
        <v>16800</v>
      </c>
      <c r="G6" s="7" t="n">
        <f aca="false">D6*10*4.1</f>
        <v>984</v>
      </c>
    </row>
    <row r="7" customFormat="false" ht="13.8" hidden="false" customHeight="false" outlineLevel="0" collapsed="false">
      <c r="A7" s="5" t="n">
        <v>6</v>
      </c>
      <c r="B7" s="6" t="s">
        <v>17</v>
      </c>
      <c r="C7" s="5" t="s">
        <v>18</v>
      </c>
      <c r="D7" s="5" t="n">
        <v>60</v>
      </c>
      <c r="E7" s="7" t="n">
        <f aca="false">D7*400*10</f>
        <v>240000</v>
      </c>
      <c r="F7" s="7" t="n">
        <f aca="false">D7*500*0.001*10*140</f>
        <v>42000</v>
      </c>
      <c r="G7" s="7" t="n">
        <f aca="false">D7*10*4.1</f>
        <v>2460</v>
      </c>
    </row>
    <row r="8" customFormat="false" ht="13.8" hidden="false" customHeight="false" outlineLevel="0" collapsed="false">
      <c r="A8" s="5" t="n">
        <v>7</v>
      </c>
      <c r="B8" s="6" t="s">
        <v>19</v>
      </c>
      <c r="C8" s="5" t="s">
        <v>20</v>
      </c>
      <c r="D8" s="5" t="n">
        <v>60</v>
      </c>
      <c r="E8" s="7" t="n">
        <f aca="false">D8*400*10</f>
        <v>240000</v>
      </c>
      <c r="F8" s="7" t="n">
        <f aca="false">D8*500*0.001*10*140</f>
        <v>42000</v>
      </c>
      <c r="G8" s="7" t="n">
        <f aca="false">D8*10*4.1</f>
        <v>2460</v>
      </c>
    </row>
    <row r="9" customFormat="false" ht="13.8" hidden="false" customHeight="false" outlineLevel="0" collapsed="false">
      <c r="A9" s="5" t="n">
        <v>8</v>
      </c>
      <c r="B9" s="6" t="s">
        <v>21</v>
      </c>
      <c r="C9" s="5" t="s">
        <v>22</v>
      </c>
      <c r="D9" s="5" t="n">
        <v>12</v>
      </c>
      <c r="E9" s="7" t="n">
        <f aca="false">D9*400*10</f>
        <v>48000</v>
      </c>
      <c r="F9" s="7" t="n">
        <f aca="false">D9*500*0.001*10*140</f>
        <v>8400</v>
      </c>
      <c r="G9" s="7" t="n">
        <f aca="false">D9*10*4.1</f>
        <v>492</v>
      </c>
    </row>
    <row r="10" customFormat="false" ht="13.8" hidden="false" customHeight="false" outlineLevel="0" collapsed="false">
      <c r="A10" s="5" t="n">
        <v>9</v>
      </c>
      <c r="B10" s="6" t="s">
        <v>23</v>
      </c>
      <c r="C10" s="5" t="s">
        <v>24</v>
      </c>
      <c r="D10" s="5" t="n">
        <v>21</v>
      </c>
      <c r="E10" s="7" t="n">
        <f aca="false">D10*400*10</f>
        <v>84000</v>
      </c>
      <c r="F10" s="7" t="n">
        <f aca="false">D10*500*0.001*10*140</f>
        <v>14700</v>
      </c>
      <c r="G10" s="7" t="n">
        <f aca="false">D10*10*4.1</f>
        <v>861</v>
      </c>
    </row>
    <row r="11" customFormat="false" ht="13.8" hidden="false" customHeight="false" outlineLevel="0" collapsed="false">
      <c r="A11" s="5" t="n">
        <v>10</v>
      </c>
      <c r="B11" s="6" t="s">
        <v>25</v>
      </c>
      <c r="C11" s="5" t="s">
        <v>26</v>
      </c>
      <c r="D11" s="5" t="n">
        <v>19</v>
      </c>
      <c r="E11" s="7" t="n">
        <f aca="false">D11*400*10</f>
        <v>76000</v>
      </c>
      <c r="F11" s="7" t="n">
        <f aca="false">D11*500*0.001*10*140</f>
        <v>13300</v>
      </c>
      <c r="G11" s="7" t="n">
        <f aca="false">D11*10*4.1</f>
        <v>779</v>
      </c>
    </row>
    <row r="12" customFormat="false" ht="13.8" hidden="false" customHeight="false" outlineLevel="0" collapsed="false">
      <c r="A12" s="5" t="n">
        <v>11</v>
      </c>
      <c r="B12" s="6" t="s">
        <v>27</v>
      </c>
      <c r="C12" s="5" t="s">
        <v>28</v>
      </c>
      <c r="D12" s="5" t="n">
        <v>6</v>
      </c>
      <c r="E12" s="7" t="n">
        <f aca="false">D12*400*10</f>
        <v>24000</v>
      </c>
      <c r="F12" s="7" t="n">
        <f aca="false">D12*500*0.001*10*140</f>
        <v>4200</v>
      </c>
      <c r="G12" s="7" t="n">
        <f aca="false">D12*10*4.1</f>
        <v>246</v>
      </c>
    </row>
    <row r="13" customFormat="false" ht="13.8" hidden="false" customHeight="false" outlineLevel="0" collapsed="false">
      <c r="A13" s="5" t="n">
        <v>12</v>
      </c>
      <c r="B13" s="6" t="s">
        <v>29</v>
      </c>
      <c r="C13" s="5" t="s">
        <v>30</v>
      </c>
      <c r="D13" s="5" t="n">
        <v>8</v>
      </c>
      <c r="E13" s="7" t="n">
        <f aca="false">D13*400*10</f>
        <v>32000</v>
      </c>
      <c r="F13" s="7" t="n">
        <f aca="false">D13*500*0.001*10*140</f>
        <v>5600</v>
      </c>
      <c r="G13" s="7" t="n">
        <f aca="false">D13*10*4.1</f>
        <v>328</v>
      </c>
    </row>
    <row r="14" customFormat="false" ht="13.8" hidden="false" customHeight="false" outlineLevel="0" collapsed="false">
      <c r="A14" s="5" t="n">
        <v>13</v>
      </c>
      <c r="B14" s="6" t="s">
        <v>31</v>
      </c>
      <c r="C14" s="5" t="s">
        <v>32</v>
      </c>
      <c r="D14" s="5" t="n">
        <v>16</v>
      </c>
      <c r="E14" s="7" t="n">
        <f aca="false">D14*400*10</f>
        <v>64000</v>
      </c>
      <c r="F14" s="7" t="n">
        <f aca="false">D14*500*0.001*10*140</f>
        <v>11200</v>
      </c>
      <c r="G14" s="7" t="n">
        <f aca="false">D14*10*4.1</f>
        <v>656</v>
      </c>
    </row>
    <row r="15" customFormat="false" ht="13.8" hidden="false" customHeight="false" outlineLevel="0" collapsed="false">
      <c r="A15" s="5" t="n">
        <v>14</v>
      </c>
      <c r="B15" s="6" t="s">
        <v>33</v>
      </c>
      <c r="C15" s="5" t="s">
        <v>34</v>
      </c>
      <c r="D15" s="5" t="n">
        <v>60</v>
      </c>
      <c r="E15" s="7" t="n">
        <f aca="false">D15*400*10</f>
        <v>240000</v>
      </c>
      <c r="F15" s="7" t="n">
        <f aca="false">D15*500*0.001*10*140</f>
        <v>42000</v>
      </c>
      <c r="G15" s="7" t="n">
        <f aca="false">D15*10*4.1</f>
        <v>2460</v>
      </c>
    </row>
    <row r="16" customFormat="false" ht="23.85" hidden="false" customHeight="false" outlineLevel="0" collapsed="false">
      <c r="A16" s="5" t="n">
        <v>15</v>
      </c>
      <c r="B16" s="6" t="s">
        <v>35</v>
      </c>
      <c r="C16" s="5" t="s">
        <v>36</v>
      </c>
      <c r="D16" s="5" t="n">
        <v>77</v>
      </c>
      <c r="E16" s="7" t="n">
        <f aca="false">D16*400*10</f>
        <v>308000</v>
      </c>
      <c r="F16" s="7" t="n">
        <f aca="false">D16*500*0.001*10*140</f>
        <v>53900</v>
      </c>
      <c r="G16" s="7" t="n">
        <f aca="false">D16*10*4.1</f>
        <v>3157</v>
      </c>
    </row>
    <row r="17" customFormat="false" ht="23.85" hidden="false" customHeight="false" outlineLevel="0" collapsed="false">
      <c r="A17" s="5" t="n">
        <v>16</v>
      </c>
      <c r="B17" s="6" t="s">
        <v>37</v>
      </c>
      <c r="C17" s="5" t="s">
        <v>38</v>
      </c>
      <c r="D17" s="5" t="n">
        <v>73</v>
      </c>
      <c r="E17" s="7" t="n">
        <f aca="false">D17*400*10</f>
        <v>292000</v>
      </c>
      <c r="F17" s="7" t="n">
        <f aca="false">D17*500*0.001*10*140</f>
        <v>51100</v>
      </c>
      <c r="G17" s="7" t="n">
        <f aca="false">D17*10*4.1</f>
        <v>2993</v>
      </c>
    </row>
    <row r="18" customFormat="false" ht="13.8" hidden="false" customHeight="false" outlineLevel="0" collapsed="false">
      <c r="A18" s="5" t="n">
        <v>17</v>
      </c>
      <c r="B18" s="6" t="s">
        <v>39</v>
      </c>
      <c r="C18" s="5" t="s">
        <v>40</v>
      </c>
      <c r="D18" s="5" t="n">
        <v>73</v>
      </c>
      <c r="E18" s="7" t="n">
        <f aca="false">D18*400*10</f>
        <v>292000</v>
      </c>
      <c r="F18" s="7" t="n">
        <f aca="false">D18*500*0.001*10*140</f>
        <v>51100</v>
      </c>
      <c r="G18" s="7" t="n">
        <f aca="false">D18*10*4.1</f>
        <v>2993</v>
      </c>
    </row>
    <row r="19" customFormat="false" ht="13.8" hidden="false" customHeight="false" outlineLevel="0" collapsed="false">
      <c r="A19" s="5" t="n">
        <v>18</v>
      </c>
      <c r="B19" s="6" t="s">
        <v>41</v>
      </c>
      <c r="C19" s="5" t="s">
        <v>42</v>
      </c>
      <c r="D19" s="5" t="n">
        <v>89</v>
      </c>
      <c r="E19" s="7" t="n">
        <f aca="false">D19*400*10</f>
        <v>356000</v>
      </c>
      <c r="F19" s="7" t="n">
        <f aca="false">D19*500*0.001*10*140</f>
        <v>62300</v>
      </c>
      <c r="G19" s="7" t="n">
        <f aca="false">D19*10*4.1</f>
        <v>3649</v>
      </c>
    </row>
    <row r="20" customFormat="false" ht="13.8" hidden="false" customHeight="false" outlineLevel="0" collapsed="false">
      <c r="A20" s="5" t="n">
        <v>19</v>
      </c>
      <c r="B20" s="6" t="s">
        <v>43</v>
      </c>
      <c r="C20" s="5" t="s">
        <v>44</v>
      </c>
      <c r="D20" s="5" t="n">
        <v>89</v>
      </c>
      <c r="E20" s="7" t="n">
        <f aca="false">D20*400*10</f>
        <v>356000</v>
      </c>
      <c r="F20" s="7" t="n">
        <f aca="false">D20*500*0.001*10*140</f>
        <v>62300</v>
      </c>
      <c r="G20" s="7" t="n">
        <f aca="false">D20*10*4.1</f>
        <v>3649</v>
      </c>
    </row>
    <row r="21" customFormat="false" ht="13.8" hidden="false" customHeight="false" outlineLevel="0" collapsed="false">
      <c r="A21" s="5" t="n">
        <v>20</v>
      </c>
      <c r="B21" s="6" t="s">
        <v>45</v>
      </c>
      <c r="C21" s="5" t="s">
        <v>46</v>
      </c>
      <c r="D21" s="5" t="n">
        <v>75</v>
      </c>
      <c r="E21" s="7" t="n">
        <f aca="false">D21*400*10</f>
        <v>300000</v>
      </c>
      <c r="F21" s="7" t="n">
        <f aca="false">D21*500*0.001*10*140</f>
        <v>52500</v>
      </c>
      <c r="G21" s="7" t="n">
        <f aca="false">D21*10*4.1</f>
        <v>3075</v>
      </c>
    </row>
    <row r="22" customFormat="false" ht="13.8" hidden="false" customHeight="false" outlineLevel="0" collapsed="false">
      <c r="A22" s="5" t="n">
        <v>21</v>
      </c>
      <c r="B22" s="6" t="s">
        <v>47</v>
      </c>
      <c r="C22" s="5" t="s">
        <v>48</v>
      </c>
      <c r="D22" s="5" t="n">
        <v>86</v>
      </c>
      <c r="E22" s="7" t="n">
        <f aca="false">D22*400*10</f>
        <v>344000</v>
      </c>
      <c r="F22" s="7" t="n">
        <f aca="false">D22*500*0.001*10*140</f>
        <v>60200</v>
      </c>
      <c r="G22" s="7" t="n">
        <f aca="false">D22*10*4.1</f>
        <v>3526</v>
      </c>
    </row>
    <row r="23" customFormat="false" ht="13.8" hidden="false" customHeight="false" outlineLevel="0" collapsed="false">
      <c r="A23" s="5" t="n">
        <v>22</v>
      </c>
      <c r="B23" s="6" t="s">
        <v>49</v>
      </c>
      <c r="C23" s="5" t="s">
        <v>50</v>
      </c>
      <c r="D23" s="5" t="n">
        <v>60</v>
      </c>
      <c r="E23" s="7" t="n">
        <f aca="false">D23*400*10</f>
        <v>240000</v>
      </c>
      <c r="F23" s="7" t="n">
        <f aca="false">D23*500*0.001*10*140</f>
        <v>42000</v>
      </c>
      <c r="G23" s="7" t="n">
        <f aca="false">D23*10*4.1</f>
        <v>2460</v>
      </c>
    </row>
    <row r="24" customFormat="false" ht="13.8" hidden="false" customHeight="false" outlineLevel="0" collapsed="false">
      <c r="A24" s="5" t="n">
        <v>23</v>
      </c>
      <c r="B24" s="6" t="s">
        <v>51</v>
      </c>
      <c r="C24" s="5" t="s">
        <v>52</v>
      </c>
      <c r="D24" s="5" t="n">
        <v>12</v>
      </c>
      <c r="E24" s="7" t="n">
        <f aca="false">D24*400*10</f>
        <v>48000</v>
      </c>
      <c r="F24" s="7" t="n">
        <f aca="false">D24*500*0.001*10*140</f>
        <v>8400</v>
      </c>
      <c r="G24" s="7" t="n">
        <f aca="false">D24*10*4.1</f>
        <v>492</v>
      </c>
    </row>
    <row r="25" customFormat="false" ht="13.8" hidden="false" customHeight="false" outlineLevel="0" collapsed="false">
      <c r="A25" s="5" t="n">
        <v>24</v>
      </c>
      <c r="B25" s="6" t="s">
        <v>53</v>
      </c>
      <c r="C25" s="5" t="s">
        <v>54</v>
      </c>
      <c r="D25" s="5" t="n">
        <v>77</v>
      </c>
      <c r="E25" s="7" t="n">
        <f aca="false">D25*400*10</f>
        <v>308000</v>
      </c>
      <c r="F25" s="7" t="n">
        <f aca="false">D25*500*0.001*10*140</f>
        <v>53900</v>
      </c>
      <c r="G25" s="7" t="n">
        <f aca="false">D25*10*4.1</f>
        <v>3157</v>
      </c>
    </row>
    <row r="26" customFormat="false" ht="13.8" hidden="false" customHeight="false" outlineLevel="0" collapsed="false">
      <c r="A26" s="5" t="n">
        <v>25</v>
      </c>
      <c r="B26" s="6" t="s">
        <v>55</v>
      </c>
      <c r="C26" s="5" t="s">
        <v>56</v>
      </c>
      <c r="D26" s="5" t="n">
        <v>31</v>
      </c>
      <c r="E26" s="7" t="n">
        <f aca="false">D26*400*10</f>
        <v>124000</v>
      </c>
      <c r="F26" s="7" t="n">
        <f aca="false">D26*500*0.001*10*140</f>
        <v>21700</v>
      </c>
      <c r="G26" s="7" t="n">
        <f aca="false">D26*10*4.1</f>
        <v>1271</v>
      </c>
    </row>
    <row r="27" customFormat="false" ht="13.8" hidden="false" customHeight="false" outlineLevel="0" collapsed="false">
      <c r="A27" s="5" t="n">
        <v>26</v>
      </c>
      <c r="B27" s="6" t="s">
        <v>57</v>
      </c>
      <c r="C27" s="5" t="s">
        <v>58</v>
      </c>
      <c r="D27" s="5" t="n">
        <v>55</v>
      </c>
      <c r="E27" s="7" t="n">
        <f aca="false">D27*400*10</f>
        <v>220000</v>
      </c>
      <c r="F27" s="7" t="n">
        <f aca="false">D27*500*0.001*10*140</f>
        <v>38500</v>
      </c>
      <c r="G27" s="7" t="n">
        <f aca="false">D27*10*4.1</f>
        <v>2255</v>
      </c>
    </row>
    <row r="28" customFormat="false" ht="13.8" hidden="false" customHeight="false" outlineLevel="0" collapsed="false">
      <c r="A28" s="5" t="n">
        <v>27</v>
      </c>
      <c r="B28" s="6" t="s">
        <v>59</v>
      </c>
      <c r="C28" s="5" t="s">
        <v>60</v>
      </c>
      <c r="D28" s="5" t="n">
        <v>78</v>
      </c>
      <c r="E28" s="7" t="n">
        <f aca="false">D28*400*10</f>
        <v>312000</v>
      </c>
      <c r="F28" s="7" t="n">
        <f aca="false">D28*500*0.001*10*140</f>
        <v>54600</v>
      </c>
      <c r="G28" s="7" t="n">
        <f aca="false">D28*10*4.1</f>
        <v>3198</v>
      </c>
    </row>
    <row r="29" customFormat="false" ht="13.8" hidden="false" customHeight="false" outlineLevel="0" collapsed="false">
      <c r="A29" s="5" t="n">
        <v>28</v>
      </c>
      <c r="B29" s="6" t="s">
        <v>61</v>
      </c>
      <c r="C29" s="5" t="s">
        <v>62</v>
      </c>
      <c r="D29" s="5" t="n">
        <v>89</v>
      </c>
      <c r="E29" s="7" t="n">
        <f aca="false">D29*400*10</f>
        <v>356000</v>
      </c>
      <c r="F29" s="7" t="n">
        <f aca="false">D29*500*0.001*10*140</f>
        <v>62300</v>
      </c>
      <c r="G29" s="7" t="n">
        <f aca="false">D29*10*4.1</f>
        <v>3649</v>
      </c>
    </row>
    <row r="30" customFormat="false" ht="13.8" hidden="false" customHeight="false" outlineLevel="0" collapsed="false">
      <c r="A30" s="5" t="n">
        <v>29</v>
      </c>
      <c r="B30" s="6" t="s">
        <v>63</v>
      </c>
      <c r="C30" s="5" t="s">
        <v>64</v>
      </c>
      <c r="D30" s="5" t="n">
        <v>56</v>
      </c>
      <c r="E30" s="7" t="n">
        <f aca="false">D30*400*10</f>
        <v>224000</v>
      </c>
      <c r="F30" s="7" t="n">
        <f aca="false">D30*500*0.001*10*140</f>
        <v>39200</v>
      </c>
      <c r="G30" s="7" t="n">
        <f aca="false">D30*10*4.1</f>
        <v>2296</v>
      </c>
    </row>
    <row r="31" customFormat="false" ht="13.8" hidden="false" customHeight="false" outlineLevel="0" collapsed="false">
      <c r="A31" s="5" t="n">
        <v>30</v>
      </c>
      <c r="B31" s="6" t="s">
        <v>65</v>
      </c>
      <c r="C31" s="5" t="s">
        <v>66</v>
      </c>
      <c r="D31" s="5" t="n">
        <v>29</v>
      </c>
      <c r="E31" s="7" t="n">
        <f aca="false">D31*400*10</f>
        <v>116000</v>
      </c>
      <c r="F31" s="7" t="n">
        <f aca="false">D31*500*0.001*10*140</f>
        <v>20300</v>
      </c>
      <c r="G31" s="7" t="n">
        <f aca="false">D31*10*4.1</f>
        <v>1189</v>
      </c>
    </row>
    <row r="32" customFormat="false" ht="13.8" hidden="false" customHeight="false" outlineLevel="0" collapsed="false">
      <c r="A32" s="5" t="n">
        <v>31</v>
      </c>
      <c r="B32" s="6" t="s">
        <v>67</v>
      </c>
      <c r="C32" s="5" t="s">
        <v>68</v>
      </c>
      <c r="D32" s="5" t="n">
        <v>39</v>
      </c>
      <c r="E32" s="7" t="n">
        <f aca="false">D32*400*10</f>
        <v>156000</v>
      </c>
      <c r="F32" s="7" t="n">
        <f aca="false">D32*500*0.001*10*140</f>
        <v>27300</v>
      </c>
      <c r="G32" s="7" t="n">
        <f aca="false">D32*10*4.1</f>
        <v>1599</v>
      </c>
    </row>
    <row r="33" customFormat="false" ht="13.8" hidden="false" customHeight="false" outlineLevel="0" collapsed="false">
      <c r="A33" s="5" t="n">
        <v>32</v>
      </c>
      <c r="B33" s="6" t="s">
        <v>69</v>
      </c>
      <c r="C33" s="5" t="s">
        <v>70</v>
      </c>
      <c r="D33" s="5" t="n">
        <v>84</v>
      </c>
      <c r="E33" s="7" t="n">
        <f aca="false">D33*400*10</f>
        <v>336000</v>
      </c>
      <c r="F33" s="7" t="n">
        <f aca="false">D33*500*0.001*10*140</f>
        <v>58800</v>
      </c>
      <c r="G33" s="7" t="n">
        <f aca="false">D33*10*4.1</f>
        <v>3444</v>
      </c>
    </row>
    <row r="34" customFormat="false" ht="35.05" hidden="false" customHeight="false" outlineLevel="0" collapsed="false">
      <c r="A34" s="5" t="n">
        <v>33</v>
      </c>
      <c r="B34" s="6" t="s">
        <v>71</v>
      </c>
      <c r="C34" s="5" t="s">
        <v>72</v>
      </c>
      <c r="D34" s="5" t="n">
        <v>30</v>
      </c>
      <c r="E34" s="7" t="n">
        <f aca="false">D34*400*10</f>
        <v>120000</v>
      </c>
      <c r="F34" s="7" t="n">
        <f aca="false">D34*500*0.001*10*140</f>
        <v>21000</v>
      </c>
      <c r="G34" s="7" t="n">
        <f aca="false">D34*10*4.1</f>
        <v>1230</v>
      </c>
    </row>
    <row r="35" customFormat="false" ht="35.05" hidden="false" customHeight="false" outlineLevel="0" collapsed="false">
      <c r="A35" s="5" t="n">
        <v>34</v>
      </c>
      <c r="B35" s="6" t="s">
        <v>73</v>
      </c>
      <c r="C35" s="5" t="s">
        <v>74</v>
      </c>
      <c r="D35" s="5" t="n">
        <v>79</v>
      </c>
      <c r="E35" s="7" t="n">
        <f aca="false">D35*400*10</f>
        <v>316000</v>
      </c>
      <c r="F35" s="7" t="n">
        <f aca="false">D35*500*0.001*10*140</f>
        <v>55300</v>
      </c>
      <c r="G35" s="7" t="n">
        <f aca="false">D35*10*4.1</f>
        <v>3239</v>
      </c>
    </row>
    <row r="36" customFormat="false" ht="35.05" hidden="false" customHeight="false" outlineLevel="0" collapsed="false">
      <c r="A36" s="5" t="n">
        <v>35</v>
      </c>
      <c r="B36" s="6" t="s">
        <v>75</v>
      </c>
      <c r="C36" s="5" t="s">
        <v>76</v>
      </c>
      <c r="D36" s="5" t="n">
        <v>70</v>
      </c>
      <c r="E36" s="7" t="n">
        <f aca="false">D36*400*10</f>
        <v>280000</v>
      </c>
      <c r="F36" s="7" t="n">
        <f aca="false">D36*500*0.001*10*140</f>
        <v>49000</v>
      </c>
      <c r="G36" s="7" t="n">
        <f aca="false">D36*10*4.1</f>
        <v>2870</v>
      </c>
    </row>
    <row r="37" customFormat="false" ht="13.8" hidden="false" customHeight="false" outlineLevel="0" collapsed="false">
      <c r="A37" s="5" t="n">
        <v>36</v>
      </c>
      <c r="B37" s="6" t="s">
        <v>77</v>
      </c>
      <c r="C37" s="5" t="s">
        <v>78</v>
      </c>
      <c r="D37" s="5" t="n">
        <v>30</v>
      </c>
      <c r="E37" s="7" t="n">
        <f aca="false">D37*400*10</f>
        <v>120000</v>
      </c>
      <c r="F37" s="7" t="n">
        <f aca="false">D37*500*0.001*10*140</f>
        <v>21000</v>
      </c>
      <c r="G37" s="7" t="n">
        <f aca="false">D37*10*4.1</f>
        <v>1230</v>
      </c>
    </row>
    <row r="38" customFormat="false" ht="13.8" hidden="false" customHeight="false" outlineLevel="0" collapsed="false">
      <c r="A38" s="5" t="n">
        <v>37</v>
      </c>
      <c r="B38" s="6" t="s">
        <v>79</v>
      </c>
      <c r="C38" s="5" t="s">
        <v>80</v>
      </c>
      <c r="D38" s="5" t="n">
        <v>38</v>
      </c>
      <c r="E38" s="7" t="n">
        <f aca="false">D38*400*10</f>
        <v>152000</v>
      </c>
      <c r="F38" s="7" t="n">
        <f aca="false">D38*500*0.001*10*140</f>
        <v>26600</v>
      </c>
      <c r="G38" s="7" t="n">
        <f aca="false">D38*10*4.1</f>
        <v>1558</v>
      </c>
    </row>
    <row r="39" customFormat="false" ht="13.8" hidden="false" customHeight="false" outlineLevel="0" collapsed="false">
      <c r="A39" s="5" t="n">
        <v>38</v>
      </c>
      <c r="B39" s="6" t="s">
        <v>81</v>
      </c>
      <c r="C39" s="5" t="s">
        <v>82</v>
      </c>
      <c r="D39" s="5" t="n">
        <v>80</v>
      </c>
      <c r="E39" s="7" t="n">
        <f aca="false">D39*400*10</f>
        <v>320000</v>
      </c>
      <c r="F39" s="7" t="n">
        <f aca="false">D39*500*0.001*10*140</f>
        <v>56000</v>
      </c>
      <c r="G39" s="7" t="n">
        <f aca="false">D39*10*4.1</f>
        <v>3280</v>
      </c>
    </row>
    <row r="40" customFormat="false" ht="13.8" hidden="false" customHeight="false" outlineLevel="0" collapsed="false">
      <c r="A40" s="5" t="n">
        <v>39</v>
      </c>
      <c r="B40" s="6" t="s">
        <v>83</v>
      </c>
      <c r="C40" s="5" t="s">
        <v>84</v>
      </c>
      <c r="D40" s="5" t="n">
        <v>27</v>
      </c>
      <c r="E40" s="7" t="n">
        <f aca="false">D40*400*10</f>
        <v>108000</v>
      </c>
      <c r="F40" s="7" t="n">
        <f aca="false">D40*500*0.001*10*140</f>
        <v>18900</v>
      </c>
      <c r="G40" s="7" t="n">
        <f aca="false">D40*10*4.1</f>
        <v>1107</v>
      </c>
    </row>
    <row r="41" customFormat="false" ht="13.8" hidden="false" customHeight="false" outlineLevel="0" collapsed="false">
      <c r="A41" s="5" t="n">
        <v>40</v>
      </c>
      <c r="B41" s="6" t="s">
        <v>85</v>
      </c>
      <c r="C41" s="5" t="s">
        <v>86</v>
      </c>
      <c r="D41" s="5" t="n">
        <v>60</v>
      </c>
      <c r="E41" s="7" t="n">
        <f aca="false">D41*400*10</f>
        <v>240000</v>
      </c>
      <c r="F41" s="7" t="n">
        <f aca="false">D41*500*0.001*10*140</f>
        <v>42000</v>
      </c>
      <c r="G41" s="7" t="n">
        <f aca="false">D41*10*4.1</f>
        <v>2460</v>
      </c>
    </row>
    <row r="42" customFormat="false" ht="23.85" hidden="false" customHeight="false" outlineLevel="0" collapsed="false">
      <c r="A42" s="5" t="n">
        <v>41</v>
      </c>
      <c r="B42" s="6" t="s">
        <v>87</v>
      </c>
      <c r="C42" s="5" t="s">
        <v>88</v>
      </c>
      <c r="D42" s="5" t="n">
        <v>57</v>
      </c>
      <c r="E42" s="7" t="n">
        <f aca="false">D42*400*10</f>
        <v>228000</v>
      </c>
      <c r="F42" s="7" t="n">
        <f aca="false">D42*500*0.001*10*140</f>
        <v>39900</v>
      </c>
      <c r="G42" s="7" t="n">
        <f aca="false">D42*10*4.1</f>
        <v>2337</v>
      </c>
    </row>
    <row r="43" customFormat="false" ht="23.85" hidden="false" customHeight="false" outlineLevel="0" collapsed="false">
      <c r="A43" s="5" t="n">
        <v>42</v>
      </c>
      <c r="B43" s="6" t="s">
        <v>89</v>
      </c>
      <c r="C43" s="5" t="s">
        <v>90</v>
      </c>
      <c r="D43" s="5" t="n">
        <v>31</v>
      </c>
      <c r="E43" s="7" t="n">
        <f aca="false">D43*400*10</f>
        <v>124000</v>
      </c>
      <c r="F43" s="7" t="n">
        <f aca="false">D43*500*0.001*10*140</f>
        <v>21700</v>
      </c>
      <c r="G43" s="7" t="n">
        <f aca="false">D43*10*4.1</f>
        <v>1271</v>
      </c>
    </row>
    <row r="44" customFormat="false" ht="13.8" hidden="false" customHeight="false" outlineLevel="0" collapsed="false">
      <c r="A44" s="5" t="n">
        <v>43</v>
      </c>
      <c r="B44" s="6" t="s">
        <v>91</v>
      </c>
      <c r="C44" s="5" t="s">
        <v>92</v>
      </c>
      <c r="D44" s="5" t="n">
        <v>98</v>
      </c>
      <c r="E44" s="7" t="n">
        <f aca="false">D44*400*10</f>
        <v>392000</v>
      </c>
      <c r="F44" s="7" t="n">
        <f aca="false">D44*500*0.001*10*140</f>
        <v>68600</v>
      </c>
      <c r="G44" s="7" t="n">
        <f aca="false">D44*10*4.1</f>
        <v>4018</v>
      </c>
    </row>
    <row r="45" customFormat="false" ht="13.8" hidden="false" customHeight="false" outlineLevel="0" collapsed="false">
      <c r="A45" s="5" t="n">
        <v>44</v>
      </c>
      <c r="B45" s="6" t="s">
        <v>93</v>
      </c>
      <c r="C45" s="5" t="s">
        <v>94</v>
      </c>
      <c r="D45" s="5" t="n">
        <v>80</v>
      </c>
      <c r="E45" s="7" t="n">
        <f aca="false">D45*400*10</f>
        <v>320000</v>
      </c>
      <c r="F45" s="7" t="n">
        <f aca="false">D45*500*0.001*10*140</f>
        <v>56000</v>
      </c>
      <c r="G45" s="7" t="n">
        <f aca="false">D45*10*4.1</f>
        <v>3280</v>
      </c>
    </row>
    <row r="46" customFormat="false" ht="13.8" hidden="false" customHeight="false" outlineLevel="0" collapsed="false">
      <c r="A46" s="5" t="n">
        <v>45</v>
      </c>
      <c r="B46" s="6" t="s">
        <v>95</v>
      </c>
      <c r="C46" s="5" t="s">
        <v>96</v>
      </c>
      <c r="D46" s="5" t="n">
        <v>5</v>
      </c>
      <c r="E46" s="7" t="n">
        <f aca="false">D46*400*10</f>
        <v>20000</v>
      </c>
      <c r="F46" s="7" t="n">
        <f aca="false">D46*500*0.001*10*140</f>
        <v>3500</v>
      </c>
      <c r="G46" s="7" t="n">
        <f aca="false">D46*10*4.1</f>
        <v>205</v>
      </c>
    </row>
    <row r="47" customFormat="false" ht="13.8" hidden="false" customHeight="false" outlineLevel="0" collapsed="false">
      <c r="A47" s="5" t="n">
        <v>46</v>
      </c>
      <c r="B47" s="6" t="s">
        <v>97</v>
      </c>
      <c r="C47" s="5" t="s">
        <v>98</v>
      </c>
      <c r="D47" s="5" t="n">
        <v>92</v>
      </c>
      <c r="E47" s="7" t="n">
        <f aca="false">D47*400*10</f>
        <v>368000</v>
      </c>
      <c r="F47" s="7" t="n">
        <f aca="false">D47*500*0.001*10*140</f>
        <v>64400</v>
      </c>
      <c r="G47" s="7" t="n">
        <f aca="false">D47*10*4.1</f>
        <v>3772</v>
      </c>
    </row>
    <row r="48" customFormat="false" ht="13.8" hidden="false" customHeight="false" outlineLevel="0" collapsed="false">
      <c r="A48" s="5" t="n">
        <v>47</v>
      </c>
      <c r="B48" s="6" t="s">
        <v>99</v>
      </c>
      <c r="C48" s="5" t="s">
        <v>100</v>
      </c>
      <c r="D48" s="5" t="n">
        <v>25</v>
      </c>
      <c r="E48" s="7" t="n">
        <f aca="false">D48*400*10</f>
        <v>100000</v>
      </c>
      <c r="F48" s="7" t="n">
        <f aca="false">D48*500*0.001*10*140</f>
        <v>17500</v>
      </c>
      <c r="G48" s="7" t="n">
        <f aca="false">D48*10*4.1</f>
        <v>1025</v>
      </c>
    </row>
    <row r="49" customFormat="false" ht="13.8" hidden="false" customHeight="false" outlineLevel="0" collapsed="false">
      <c r="A49" s="5" t="n">
        <v>48</v>
      </c>
      <c r="B49" s="6" t="s">
        <v>101</v>
      </c>
      <c r="C49" s="5" t="s">
        <v>102</v>
      </c>
      <c r="D49" s="5" t="n">
        <v>60</v>
      </c>
      <c r="E49" s="7" t="n">
        <f aca="false">D49*400*10</f>
        <v>240000</v>
      </c>
      <c r="F49" s="7" t="n">
        <f aca="false">D49*500*0.001*10*140</f>
        <v>42000</v>
      </c>
      <c r="G49" s="7" t="n">
        <f aca="false">D49*10*4.1</f>
        <v>2460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2026-09-30T18:53:07Z</dcterms:created>
  <dc:creator>openpyxl</dc:creator>
  <dc:description/>
  <dc:language>pt-BR</dc:language>
  <cp:lastModifiedBy/>
  <dcterms:modified xsi:type="dcterms:W3CDTF">2026-10-05T09:56:34Z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